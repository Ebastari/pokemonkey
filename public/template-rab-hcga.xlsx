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BL\Data EBL\"/>
    </mc:Choice>
  </mc:AlternateContent>
  <xr:revisionPtr revIDLastSave="0" documentId="13_ncr:1_{95C6AC6F-F473-40BB-9CC1-D2F3CDDFA308}" xr6:coauthVersionLast="47" xr6:coauthVersionMax="47" xr10:uidLastSave="{00000000-0000-0000-0000-000000000000}"/>
  <bookViews>
    <workbookView xWindow="-110" yWindow="-110" windowWidth="19420" windowHeight="10420" activeTab="1" xr2:uid="{78250874-BAB1-4F11-AA9B-88FD4B3FD9DB}"/>
  </bookViews>
  <sheets>
    <sheet name="WBS" sheetId="15" r:id="rId1"/>
    <sheet name="HCGA Okt 2026" sheetId="1" r:id="rId2"/>
    <sheet name="ATK" sheetId="2" r:id="rId3"/>
    <sheet name="BBM" sheetId="3" r:id="rId4"/>
    <sheet name="Catering" sheetId="4" r:id="rId5"/>
    <sheet name="Perdin &amp; Cuti" sheetId="6" r:id="rId6"/>
    <sheet name="Listrik PLN" sheetId="8" r:id="rId7"/>
    <sheet name="Air PDAM" sheetId="12" r:id="rId8"/>
    <sheet name="Telp &amp; Internet" sheetId="13" r:id="rId9"/>
    <sheet name="Pantry" sheetId="9" r:id="rId10"/>
    <sheet name="KHL" sheetId="10" r:id="rId11"/>
  </sheets>
  <externalReferences>
    <externalReference r:id="rId12"/>
  </externalReferences>
  <definedNames>
    <definedName name="Bulan_Code">#REF!</definedName>
    <definedName name="Entitas_Code">#REF!</definedName>
    <definedName name="FOTO">INDEX([1]Bantu!$E$16:$E$19,MATCH('[1]Pivot Table'!$B$6,[1]Bantu!$D$16:$D$19,0))</definedName>
    <definedName name="OpCa">#REF!</definedName>
    <definedName name="_xlnm.Print_Area" localSheetId="7">'Air PDAM'!$B$7:$H$85</definedName>
    <definedName name="_xlnm.Print_Area" localSheetId="2">ATK!$B$7:$H$105</definedName>
    <definedName name="_xlnm.Print_Area" localSheetId="3">BBM!$B$7:$H$105</definedName>
    <definedName name="_xlnm.Print_Area" localSheetId="4">Catering!$B$7:$H$107</definedName>
    <definedName name="_xlnm.Print_Area" localSheetId="1">'HCGA Okt 2026'!$B$2:$J$34</definedName>
    <definedName name="_xlnm.Print_Area" localSheetId="10">KHL!$B$7:$H$105</definedName>
    <definedName name="_xlnm.Print_Area" localSheetId="6">'Listrik PLN'!$B$7:$H$85</definedName>
    <definedName name="_xlnm.Print_Area" localSheetId="9">Pantry!$B$7:$H$109</definedName>
    <definedName name="_xlnm.Print_Area" localSheetId="5">'Perdin &amp; Cuti'!$B$7:$H$105</definedName>
    <definedName name="_xlnm.Print_Area" localSheetId="8">'Telp &amp; Internet'!$B$7:$H$85</definedName>
    <definedName name="SBU">#REF!</definedName>
    <definedName name="SBU_code">#REF!</definedName>
    <definedName name="status_budget">#REF!</definedName>
    <definedName name="status_unbudgeted">#REF!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D19" i="1" l="1"/>
  <c r="I25" i="1"/>
  <c r="H25" i="1"/>
  <c r="G25" i="1"/>
  <c r="F25" i="1"/>
  <c r="H44" i="13"/>
  <c r="H43" i="13"/>
  <c r="H42" i="13"/>
  <c r="H41" i="13"/>
  <c r="H45" i="13" s="1"/>
  <c r="I45" i="13" s="1"/>
  <c r="C41" i="13"/>
  <c r="C42" i="13" s="1"/>
  <c r="C43" i="13" s="1"/>
  <c r="C44" i="13" s="1"/>
  <c r="H40" i="13"/>
  <c r="H34" i="13"/>
  <c r="H33" i="13"/>
  <c r="H32" i="13"/>
  <c r="H31" i="13"/>
  <c r="C31" i="13"/>
  <c r="C32" i="13" s="1"/>
  <c r="C33" i="13" s="1"/>
  <c r="C34" i="13" s="1"/>
  <c r="H30" i="13"/>
  <c r="H35" i="13" s="1"/>
  <c r="I35" i="13" s="1"/>
  <c r="H24" i="13"/>
  <c r="H23" i="13"/>
  <c r="H22" i="13"/>
  <c r="C22" i="13"/>
  <c r="C23" i="13" s="1"/>
  <c r="C24" i="13" s="1"/>
  <c r="H21" i="13"/>
  <c r="C21" i="13"/>
  <c r="H20" i="13"/>
  <c r="H25" i="13" s="1"/>
  <c r="I25" i="13" s="1"/>
  <c r="H14" i="13"/>
  <c r="H13" i="13"/>
  <c r="C13" i="13"/>
  <c r="C14" i="13" s="1"/>
  <c r="H12" i="13"/>
  <c r="C12" i="13"/>
  <c r="H11" i="13"/>
  <c r="H15" i="13" s="1"/>
  <c r="I15" i="13" s="1"/>
  <c r="C11" i="13"/>
  <c r="H10" i="13"/>
  <c r="I24" i="1"/>
  <c r="H24" i="1"/>
  <c r="G24" i="1"/>
  <c r="F24" i="1"/>
  <c r="H44" i="12"/>
  <c r="H43" i="12"/>
  <c r="H42" i="12"/>
  <c r="H41" i="12"/>
  <c r="C41" i="12"/>
  <c r="C42" i="12" s="1"/>
  <c r="C43" i="12" s="1"/>
  <c r="C44" i="12" s="1"/>
  <c r="H40" i="12"/>
  <c r="H34" i="12"/>
  <c r="H33" i="12"/>
  <c r="H32" i="12"/>
  <c r="H31" i="12"/>
  <c r="C31" i="12"/>
  <c r="C32" i="12" s="1"/>
  <c r="C33" i="12" s="1"/>
  <c r="C34" i="12" s="1"/>
  <c r="H30" i="12"/>
  <c r="H24" i="12"/>
  <c r="H23" i="12"/>
  <c r="H22" i="12"/>
  <c r="H21" i="12"/>
  <c r="C21" i="12"/>
  <c r="C22" i="12" s="1"/>
  <c r="C23" i="12" s="1"/>
  <c r="C24" i="12" s="1"/>
  <c r="H20" i="12"/>
  <c r="H14" i="12"/>
  <c r="H13" i="12"/>
  <c r="H12" i="12"/>
  <c r="H11" i="12"/>
  <c r="C11" i="12"/>
  <c r="C12" i="12" s="1"/>
  <c r="C13" i="12" s="1"/>
  <c r="C14" i="12" s="1"/>
  <c r="H10" i="12"/>
  <c r="F19" i="1"/>
  <c r="H58" i="9"/>
  <c r="H42" i="9"/>
  <c r="H26" i="9"/>
  <c r="H10" i="9"/>
  <c r="H49" i="13" l="1"/>
  <c r="H25" i="12"/>
  <c r="I25" i="12" s="1"/>
  <c r="H35" i="12"/>
  <c r="I35" i="12" s="1"/>
  <c r="H15" i="12"/>
  <c r="I15" i="12" s="1"/>
  <c r="H49" i="12" s="1"/>
  <c r="H45" i="12"/>
  <c r="I45" i="12" s="1"/>
  <c r="J29" i="1" l="1"/>
  <c r="J25" i="1" l="1"/>
  <c r="J32" i="1"/>
  <c r="J24" i="1"/>
  <c r="J30" i="1"/>
  <c r="J31" i="1"/>
  <c r="H55" i="6" l="1"/>
  <c r="H40" i="6"/>
  <c r="H25" i="6"/>
  <c r="H10" i="6"/>
  <c r="L10" i="4"/>
  <c r="L11" i="4" s="1"/>
  <c r="H10" i="3" l="1"/>
  <c r="H28" i="4"/>
  <c r="C27" i="4"/>
  <c r="C28" i="4" s="1"/>
  <c r="C29" i="4" s="1"/>
  <c r="W11" i="4"/>
  <c r="W10" i="4"/>
  <c r="R10" i="4"/>
  <c r="Q27" i="4"/>
  <c r="R11" i="4" l="1"/>
  <c r="H27" i="4"/>
  <c r="L34" i="4"/>
  <c r="L35" i="4" s="1"/>
  <c r="Q25" i="4"/>
  <c r="Q26" i="4"/>
  <c r="H64" i="10"/>
  <c r="H63" i="10"/>
  <c r="H62" i="10"/>
  <c r="H61" i="10"/>
  <c r="H60" i="10"/>
  <c r="H59" i="10"/>
  <c r="H58" i="10"/>
  <c r="H57" i="10"/>
  <c r="H56" i="10"/>
  <c r="C56" i="10"/>
  <c r="C57" i="10" s="1"/>
  <c r="C58" i="10" s="1"/>
  <c r="C59" i="10" s="1"/>
  <c r="C60" i="10" s="1"/>
  <c r="C61" i="10" s="1"/>
  <c r="C62" i="10" s="1"/>
  <c r="C63" i="10" s="1"/>
  <c r="C64" i="10" s="1"/>
  <c r="H55" i="10"/>
  <c r="H49" i="10"/>
  <c r="H48" i="10"/>
  <c r="H47" i="10"/>
  <c r="H46" i="10"/>
  <c r="H45" i="10"/>
  <c r="H44" i="10"/>
  <c r="H43" i="10"/>
  <c r="H42" i="10"/>
  <c r="H41" i="10"/>
  <c r="C41" i="10"/>
  <c r="C42" i="10" s="1"/>
  <c r="C43" i="10" s="1"/>
  <c r="C44" i="10" s="1"/>
  <c r="C45" i="10" s="1"/>
  <c r="C46" i="10" s="1"/>
  <c r="C47" i="10" s="1"/>
  <c r="C48" i="10" s="1"/>
  <c r="C49" i="10" s="1"/>
  <c r="H40" i="10"/>
  <c r="H34" i="10"/>
  <c r="H33" i="10"/>
  <c r="H32" i="10"/>
  <c r="H31" i="10"/>
  <c r="H30" i="10"/>
  <c r="H29" i="10"/>
  <c r="H28" i="10"/>
  <c r="H27" i="10"/>
  <c r="H26" i="10"/>
  <c r="C26" i="10"/>
  <c r="C27" i="10" s="1"/>
  <c r="C28" i="10" s="1"/>
  <c r="C29" i="10" s="1"/>
  <c r="C30" i="10" s="1"/>
  <c r="C31" i="10" s="1"/>
  <c r="C32" i="10" s="1"/>
  <c r="C33" i="10" s="1"/>
  <c r="C34" i="10" s="1"/>
  <c r="H25" i="10"/>
  <c r="H19" i="10"/>
  <c r="H18" i="10"/>
  <c r="H17" i="10"/>
  <c r="H16" i="10"/>
  <c r="H15" i="10"/>
  <c r="H14" i="10"/>
  <c r="H13" i="10"/>
  <c r="H12" i="10"/>
  <c r="H11" i="10"/>
  <c r="C11" i="10"/>
  <c r="C12" i="10" s="1"/>
  <c r="C13" i="10" s="1"/>
  <c r="C14" i="10" s="1"/>
  <c r="C15" i="10" s="1"/>
  <c r="C16" i="10" s="1"/>
  <c r="C17" i="10" s="1"/>
  <c r="C18" i="10" s="1"/>
  <c r="C19" i="10" s="1"/>
  <c r="H10" i="10"/>
  <c r="H68" i="9"/>
  <c r="H67" i="9"/>
  <c r="H66" i="9"/>
  <c r="H65" i="9"/>
  <c r="H64" i="9"/>
  <c r="H63" i="9"/>
  <c r="H62" i="9"/>
  <c r="H61" i="9"/>
  <c r="H60" i="9"/>
  <c r="C60" i="9"/>
  <c r="C61" i="9" s="1"/>
  <c r="C62" i="9" s="1"/>
  <c r="C63" i="9" s="1"/>
  <c r="C64" i="9" s="1"/>
  <c r="C65" i="9" s="1"/>
  <c r="C66" i="9" s="1"/>
  <c r="C67" i="9" s="1"/>
  <c r="C68" i="9" s="1"/>
  <c r="H59" i="9"/>
  <c r="H52" i="9"/>
  <c r="H51" i="9"/>
  <c r="H50" i="9"/>
  <c r="H49" i="9"/>
  <c r="H48" i="9"/>
  <c r="H47" i="9"/>
  <c r="H46" i="9"/>
  <c r="H45" i="9"/>
  <c r="H44" i="9"/>
  <c r="C44" i="9"/>
  <c r="C45" i="9" s="1"/>
  <c r="C46" i="9" s="1"/>
  <c r="C47" i="9" s="1"/>
  <c r="C48" i="9" s="1"/>
  <c r="C49" i="9" s="1"/>
  <c r="C50" i="9" s="1"/>
  <c r="C51" i="9" s="1"/>
  <c r="C52" i="9" s="1"/>
  <c r="H43" i="9"/>
  <c r="H36" i="9"/>
  <c r="H35" i="9"/>
  <c r="H34" i="9"/>
  <c r="H33" i="9"/>
  <c r="H32" i="9"/>
  <c r="H31" i="9"/>
  <c r="H30" i="9"/>
  <c r="H29" i="9"/>
  <c r="H28" i="9"/>
  <c r="C28" i="9"/>
  <c r="C29" i="9" s="1"/>
  <c r="C30" i="9" s="1"/>
  <c r="C31" i="9" s="1"/>
  <c r="C32" i="9" s="1"/>
  <c r="C33" i="9" s="1"/>
  <c r="C34" i="9" s="1"/>
  <c r="C35" i="9" s="1"/>
  <c r="C36" i="9" s="1"/>
  <c r="H27" i="9"/>
  <c r="H20" i="9"/>
  <c r="H19" i="9"/>
  <c r="H18" i="9"/>
  <c r="H17" i="9"/>
  <c r="H16" i="9"/>
  <c r="H15" i="9"/>
  <c r="H14" i="9"/>
  <c r="H13" i="9"/>
  <c r="H12" i="9"/>
  <c r="C12" i="9"/>
  <c r="C13" i="9" s="1"/>
  <c r="C14" i="9" s="1"/>
  <c r="C15" i="9" s="1"/>
  <c r="C16" i="9" s="1"/>
  <c r="C17" i="9" s="1"/>
  <c r="C18" i="9" s="1"/>
  <c r="C19" i="9" s="1"/>
  <c r="C20" i="9" s="1"/>
  <c r="H11" i="9"/>
  <c r="H44" i="8"/>
  <c r="H43" i="8"/>
  <c r="H42" i="8"/>
  <c r="H41" i="8"/>
  <c r="C41" i="8"/>
  <c r="C42" i="8" s="1"/>
  <c r="C43" i="8" s="1"/>
  <c r="C44" i="8" s="1"/>
  <c r="H40" i="8"/>
  <c r="H34" i="8"/>
  <c r="H33" i="8"/>
  <c r="H32" i="8"/>
  <c r="H31" i="8"/>
  <c r="C31" i="8"/>
  <c r="C32" i="8" s="1"/>
  <c r="C33" i="8" s="1"/>
  <c r="C34" i="8" s="1"/>
  <c r="H30" i="8"/>
  <c r="H24" i="8"/>
  <c r="H23" i="8"/>
  <c r="H22" i="8"/>
  <c r="H21" i="8"/>
  <c r="C21" i="8"/>
  <c r="C22" i="8" s="1"/>
  <c r="C23" i="8" s="1"/>
  <c r="C24" i="8" s="1"/>
  <c r="H20" i="8"/>
  <c r="H14" i="8"/>
  <c r="H13" i="8"/>
  <c r="H12" i="8"/>
  <c r="H11" i="8"/>
  <c r="C11" i="8"/>
  <c r="C12" i="8" s="1"/>
  <c r="C13" i="8" s="1"/>
  <c r="C14" i="8" s="1"/>
  <c r="H10" i="8"/>
  <c r="H64" i="6"/>
  <c r="H63" i="6"/>
  <c r="H62" i="6"/>
  <c r="H61" i="6"/>
  <c r="H60" i="6"/>
  <c r="H59" i="6"/>
  <c r="H58" i="6"/>
  <c r="H57" i="6"/>
  <c r="H56" i="6"/>
  <c r="C56" i="6"/>
  <c r="C57" i="6" s="1"/>
  <c r="C58" i="6" s="1"/>
  <c r="C59" i="6" s="1"/>
  <c r="C60" i="6" s="1"/>
  <c r="C61" i="6" s="1"/>
  <c r="C62" i="6" s="1"/>
  <c r="C63" i="6" s="1"/>
  <c r="C64" i="6" s="1"/>
  <c r="H49" i="6"/>
  <c r="H48" i="6"/>
  <c r="H47" i="6"/>
  <c r="H46" i="6"/>
  <c r="H45" i="6"/>
  <c r="H44" i="6"/>
  <c r="H43" i="6"/>
  <c r="H42" i="6"/>
  <c r="H41" i="6"/>
  <c r="C41" i="6"/>
  <c r="C42" i="6" s="1"/>
  <c r="C43" i="6" s="1"/>
  <c r="C44" i="6" s="1"/>
  <c r="C45" i="6" s="1"/>
  <c r="C46" i="6" s="1"/>
  <c r="C47" i="6" s="1"/>
  <c r="C48" i="6" s="1"/>
  <c r="C49" i="6" s="1"/>
  <c r="H34" i="6"/>
  <c r="H33" i="6"/>
  <c r="H32" i="6"/>
  <c r="H31" i="6"/>
  <c r="H30" i="6"/>
  <c r="H29" i="6"/>
  <c r="H28" i="6"/>
  <c r="H27" i="6"/>
  <c r="H26" i="6"/>
  <c r="C26" i="6"/>
  <c r="C27" i="6" s="1"/>
  <c r="C28" i="6" s="1"/>
  <c r="C29" i="6" s="1"/>
  <c r="C30" i="6" s="1"/>
  <c r="C31" i="6" s="1"/>
  <c r="C32" i="6" s="1"/>
  <c r="C33" i="6" s="1"/>
  <c r="C34" i="6" s="1"/>
  <c r="H19" i="6"/>
  <c r="H18" i="6"/>
  <c r="H17" i="6"/>
  <c r="H16" i="6"/>
  <c r="H15" i="6"/>
  <c r="H14" i="6"/>
  <c r="H13" i="6"/>
  <c r="H12" i="6"/>
  <c r="H11" i="6"/>
  <c r="C11" i="6"/>
  <c r="C12" i="6" s="1"/>
  <c r="C13" i="6" s="1"/>
  <c r="C14" i="6" s="1"/>
  <c r="C15" i="6" s="1"/>
  <c r="C16" i="6" s="1"/>
  <c r="C17" i="6" s="1"/>
  <c r="C18" i="6" s="1"/>
  <c r="C19" i="6" s="1"/>
  <c r="H66" i="4"/>
  <c r="H65" i="4"/>
  <c r="H64" i="4"/>
  <c r="H63" i="4"/>
  <c r="H62" i="4"/>
  <c r="H61" i="4"/>
  <c r="H60" i="4"/>
  <c r="C58" i="4"/>
  <c r="C59" i="4" s="1"/>
  <c r="C60" i="4" s="1"/>
  <c r="C61" i="4" s="1"/>
  <c r="C62" i="4" s="1"/>
  <c r="C63" i="4" s="1"/>
  <c r="C64" i="4" s="1"/>
  <c r="C65" i="4" s="1"/>
  <c r="C66" i="4" s="1"/>
  <c r="H51" i="4"/>
  <c r="H50" i="4"/>
  <c r="H49" i="4"/>
  <c r="H48" i="4"/>
  <c r="H47" i="4"/>
  <c r="H46" i="4"/>
  <c r="H45" i="4"/>
  <c r="C43" i="4"/>
  <c r="C44" i="4" s="1"/>
  <c r="C45" i="4" s="1"/>
  <c r="C46" i="4" s="1"/>
  <c r="C47" i="4" s="1"/>
  <c r="C48" i="4" s="1"/>
  <c r="C49" i="4" s="1"/>
  <c r="C50" i="4" s="1"/>
  <c r="C51" i="4" s="1"/>
  <c r="H36" i="4"/>
  <c r="H35" i="4"/>
  <c r="H34" i="4"/>
  <c r="H33" i="4"/>
  <c r="H32" i="4"/>
  <c r="H31" i="4"/>
  <c r="H30" i="4"/>
  <c r="C30" i="4"/>
  <c r="C31" i="4" s="1"/>
  <c r="C32" i="4" s="1"/>
  <c r="C33" i="4" s="1"/>
  <c r="C34" i="4" s="1"/>
  <c r="C35" i="4" s="1"/>
  <c r="C36" i="4" s="1"/>
  <c r="Q24" i="4"/>
  <c r="Q23" i="4"/>
  <c r="Q22" i="4"/>
  <c r="Q21" i="4"/>
  <c r="Q20" i="4"/>
  <c r="Q19" i="4"/>
  <c r="H19" i="4"/>
  <c r="Q18" i="4"/>
  <c r="H18" i="4"/>
  <c r="Q17" i="4"/>
  <c r="H17" i="4"/>
  <c r="Q16" i="4"/>
  <c r="H16" i="4"/>
  <c r="Q15" i="4"/>
  <c r="H15" i="4"/>
  <c r="Q14" i="4"/>
  <c r="H14" i="4"/>
  <c r="Q13" i="4"/>
  <c r="H13" i="4"/>
  <c r="Q12" i="4"/>
  <c r="Q11" i="4"/>
  <c r="C11" i="4"/>
  <c r="C12" i="4" s="1"/>
  <c r="C13" i="4" s="1"/>
  <c r="C14" i="4" s="1"/>
  <c r="C15" i="4" s="1"/>
  <c r="C16" i="4" s="1"/>
  <c r="C17" i="4" s="1"/>
  <c r="C18" i="4" s="1"/>
  <c r="C19" i="4" s="1"/>
  <c r="Q10" i="4"/>
  <c r="L12" i="4"/>
  <c r="L13" i="4" s="1"/>
  <c r="L14" i="4" s="1"/>
  <c r="L15" i="4" s="1"/>
  <c r="AC9" i="4"/>
  <c r="AC28" i="4" s="1"/>
  <c r="W9" i="4"/>
  <c r="Q9" i="4"/>
  <c r="H64" i="3"/>
  <c r="H63" i="3"/>
  <c r="H62" i="3"/>
  <c r="H61" i="3"/>
  <c r="H60" i="3"/>
  <c r="H59" i="3"/>
  <c r="H58" i="3"/>
  <c r="H57" i="3"/>
  <c r="H56" i="3"/>
  <c r="C56" i="3"/>
  <c r="C57" i="3" s="1"/>
  <c r="C58" i="3" s="1"/>
  <c r="C59" i="3" s="1"/>
  <c r="C60" i="3" s="1"/>
  <c r="C61" i="3" s="1"/>
  <c r="C62" i="3" s="1"/>
  <c r="C63" i="3" s="1"/>
  <c r="C64" i="3" s="1"/>
  <c r="H55" i="3"/>
  <c r="H49" i="3"/>
  <c r="H48" i="3"/>
  <c r="H47" i="3"/>
  <c r="H46" i="3"/>
  <c r="H45" i="3"/>
  <c r="H44" i="3"/>
  <c r="H43" i="3"/>
  <c r="H42" i="3"/>
  <c r="H41" i="3"/>
  <c r="C41" i="3"/>
  <c r="C42" i="3" s="1"/>
  <c r="C43" i="3" s="1"/>
  <c r="C44" i="3" s="1"/>
  <c r="C45" i="3" s="1"/>
  <c r="C46" i="3" s="1"/>
  <c r="C47" i="3" s="1"/>
  <c r="C48" i="3" s="1"/>
  <c r="C49" i="3" s="1"/>
  <c r="H40" i="3"/>
  <c r="H34" i="3"/>
  <c r="H33" i="3"/>
  <c r="H32" i="3"/>
  <c r="H31" i="3"/>
  <c r="H30" i="3"/>
  <c r="H29" i="3"/>
  <c r="H28" i="3"/>
  <c r="H27" i="3"/>
  <c r="H26" i="3"/>
  <c r="C26" i="3"/>
  <c r="C27" i="3" s="1"/>
  <c r="C28" i="3" s="1"/>
  <c r="C29" i="3" s="1"/>
  <c r="C30" i="3" s="1"/>
  <c r="C31" i="3" s="1"/>
  <c r="C32" i="3" s="1"/>
  <c r="C33" i="3" s="1"/>
  <c r="C34" i="3" s="1"/>
  <c r="H25" i="3"/>
  <c r="H19" i="3"/>
  <c r="H18" i="3"/>
  <c r="H17" i="3"/>
  <c r="H16" i="3"/>
  <c r="H15" i="3"/>
  <c r="H14" i="3"/>
  <c r="H13" i="3"/>
  <c r="H12" i="3"/>
  <c r="H11" i="3"/>
  <c r="C11" i="3"/>
  <c r="C12" i="3" s="1"/>
  <c r="C13" i="3" s="1"/>
  <c r="C14" i="3" s="1"/>
  <c r="C15" i="3" s="1"/>
  <c r="C16" i="3" s="1"/>
  <c r="C17" i="3" s="1"/>
  <c r="C18" i="3" s="1"/>
  <c r="C19" i="3" s="1"/>
  <c r="H64" i="2"/>
  <c r="H63" i="2"/>
  <c r="H62" i="2"/>
  <c r="H61" i="2"/>
  <c r="H60" i="2"/>
  <c r="H59" i="2"/>
  <c r="H58" i="2"/>
  <c r="H57" i="2"/>
  <c r="H56" i="2"/>
  <c r="C56" i="2"/>
  <c r="C57" i="2" s="1"/>
  <c r="C58" i="2" s="1"/>
  <c r="C59" i="2" s="1"/>
  <c r="C60" i="2" s="1"/>
  <c r="C61" i="2" s="1"/>
  <c r="C62" i="2" s="1"/>
  <c r="C63" i="2" s="1"/>
  <c r="C64" i="2" s="1"/>
  <c r="H55" i="2"/>
  <c r="H49" i="2"/>
  <c r="H48" i="2"/>
  <c r="H47" i="2"/>
  <c r="H46" i="2"/>
  <c r="H45" i="2"/>
  <c r="H44" i="2"/>
  <c r="H43" i="2"/>
  <c r="H42" i="2"/>
  <c r="H41" i="2"/>
  <c r="C41" i="2"/>
  <c r="C42" i="2" s="1"/>
  <c r="C43" i="2" s="1"/>
  <c r="C44" i="2" s="1"/>
  <c r="C45" i="2" s="1"/>
  <c r="C46" i="2" s="1"/>
  <c r="C47" i="2" s="1"/>
  <c r="C48" i="2" s="1"/>
  <c r="C49" i="2" s="1"/>
  <c r="H40" i="2"/>
  <c r="H34" i="2"/>
  <c r="H33" i="2"/>
  <c r="H32" i="2"/>
  <c r="H31" i="2"/>
  <c r="H30" i="2"/>
  <c r="H29" i="2"/>
  <c r="H28" i="2"/>
  <c r="H27" i="2"/>
  <c r="H26" i="2"/>
  <c r="C26" i="2"/>
  <c r="C27" i="2" s="1"/>
  <c r="C28" i="2" s="1"/>
  <c r="C29" i="2" s="1"/>
  <c r="C30" i="2" s="1"/>
  <c r="C31" i="2" s="1"/>
  <c r="C32" i="2" s="1"/>
  <c r="C33" i="2" s="1"/>
  <c r="C34" i="2" s="1"/>
  <c r="H25" i="2"/>
  <c r="H19" i="2"/>
  <c r="H18" i="2"/>
  <c r="H17" i="2"/>
  <c r="H16" i="2"/>
  <c r="H15" i="2"/>
  <c r="H14" i="2"/>
  <c r="H13" i="2"/>
  <c r="H12" i="2"/>
  <c r="H11" i="2"/>
  <c r="C11" i="2"/>
  <c r="C12" i="2" s="1"/>
  <c r="C13" i="2" s="1"/>
  <c r="C14" i="2" s="1"/>
  <c r="C15" i="2" s="1"/>
  <c r="C16" i="2" s="1"/>
  <c r="C17" i="2" s="1"/>
  <c r="C18" i="2" s="1"/>
  <c r="C19" i="2" s="1"/>
  <c r="H10" i="2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H50" i="6" l="1"/>
  <c r="H22" i="1" s="1"/>
  <c r="H20" i="10"/>
  <c r="F27" i="1" s="1"/>
  <c r="H45" i="8"/>
  <c r="I23" i="1" s="1"/>
  <c r="H65" i="2"/>
  <c r="I65" i="2" s="1"/>
  <c r="H20" i="6"/>
  <c r="I20" i="6" s="1"/>
  <c r="H37" i="9"/>
  <c r="G26" i="1" s="1"/>
  <c r="H21" i="9"/>
  <c r="F26" i="1" s="1"/>
  <c r="H53" i="9"/>
  <c r="H26" i="1" s="1"/>
  <c r="H69" i="9"/>
  <c r="I26" i="1" s="1"/>
  <c r="H35" i="8"/>
  <c r="I35" i="8" s="1"/>
  <c r="H35" i="2"/>
  <c r="G19" i="1" s="1"/>
  <c r="H25" i="8"/>
  <c r="I25" i="8" s="1"/>
  <c r="H50" i="2"/>
  <c r="I50" i="2" s="1"/>
  <c r="Q28" i="4"/>
  <c r="H65" i="3"/>
  <c r="I65" i="3" s="1"/>
  <c r="H50" i="10"/>
  <c r="H27" i="1" s="1"/>
  <c r="H35" i="10"/>
  <c r="I35" i="10" s="1"/>
  <c r="H20" i="3"/>
  <c r="F20" i="1" s="1"/>
  <c r="H20" i="2"/>
  <c r="I20" i="2" s="1"/>
  <c r="J26" i="4"/>
  <c r="H35" i="3"/>
  <c r="G20" i="1" s="1"/>
  <c r="H50" i="3"/>
  <c r="H20" i="1" s="1"/>
  <c r="W28" i="4"/>
  <c r="H29" i="4"/>
  <c r="H12" i="4"/>
  <c r="H35" i="6"/>
  <c r="I35" i="6" s="1"/>
  <c r="H65" i="6"/>
  <c r="I22" i="1" s="1"/>
  <c r="H10" i="4"/>
  <c r="H11" i="4"/>
  <c r="H15" i="8"/>
  <c r="F23" i="1" s="1"/>
  <c r="H65" i="10"/>
  <c r="I19" i="1" l="1"/>
  <c r="I45" i="8"/>
  <c r="I50" i="6"/>
  <c r="F22" i="1"/>
  <c r="I20" i="10"/>
  <c r="Q29" i="4"/>
  <c r="I20" i="1"/>
  <c r="J20" i="1" s="1"/>
  <c r="I21" i="9"/>
  <c r="I53" i="9"/>
  <c r="G23" i="1"/>
  <c r="I69" i="9"/>
  <c r="I37" i="9"/>
  <c r="G22" i="1"/>
  <c r="I35" i="2"/>
  <c r="H69" i="2" s="1"/>
  <c r="H23" i="1"/>
  <c r="H19" i="1"/>
  <c r="I65" i="6"/>
  <c r="I20" i="3"/>
  <c r="I50" i="10"/>
  <c r="G27" i="1"/>
  <c r="I35" i="3"/>
  <c r="H44" i="4"/>
  <c r="I50" i="3"/>
  <c r="H20" i="4"/>
  <c r="I20" i="4" s="1"/>
  <c r="I65" i="10"/>
  <c r="I27" i="1"/>
  <c r="J26" i="1"/>
  <c r="I15" i="8"/>
  <c r="H26" i="4"/>
  <c r="H37" i="4" s="1"/>
  <c r="H59" i="4"/>
  <c r="H49" i="8" l="1"/>
  <c r="H69" i="6"/>
  <c r="J28" i="1"/>
  <c r="J22" i="1"/>
  <c r="H73" i="9"/>
  <c r="J19" i="1"/>
  <c r="J27" i="1"/>
  <c r="J23" i="1"/>
  <c r="H69" i="10"/>
  <c r="F21" i="1"/>
  <c r="F33" i="1" s="1"/>
  <c r="H69" i="3"/>
  <c r="H58" i="4"/>
  <c r="H43" i="4"/>
  <c r="I37" i="4"/>
  <c r="G33" i="1"/>
  <c r="H42" i="4"/>
  <c r="H57" i="4"/>
  <c r="H52" i="4" l="1"/>
  <c r="I52" i="4" s="1"/>
  <c r="H67" i="4"/>
  <c r="H21" i="1" l="1"/>
  <c r="H33" i="1" s="1"/>
  <c r="I21" i="1"/>
  <c r="I33" i="1" s="1"/>
  <c r="I67" i="4"/>
  <c r="H71" i="4" s="1"/>
  <c r="J21" i="1" l="1"/>
  <c r="J33" i="1" l="1"/>
</calcChain>
</file>

<file path=xl/sharedStrings.xml><?xml version="1.0" encoding="utf-8"?>
<sst xmlns="http://schemas.openxmlformats.org/spreadsheetml/2006/main" count="613" uniqueCount="197">
  <si>
    <t>Hasnur Group</t>
  </si>
  <si>
    <t>Lokasi</t>
  </si>
  <si>
    <t>Periode</t>
  </si>
  <si>
    <t>Kepada</t>
  </si>
  <si>
    <t>Finance HO</t>
  </si>
  <si>
    <t>Up.</t>
  </si>
  <si>
    <t>No. RAB</t>
  </si>
  <si>
    <t>NO.</t>
  </si>
  <si>
    <t>Uraian</t>
  </si>
  <si>
    <t>Minggu I</t>
  </si>
  <si>
    <t>Minggu II</t>
  </si>
  <si>
    <t>Minggu III</t>
  </si>
  <si>
    <t>Minggu IV</t>
  </si>
  <si>
    <t>Total</t>
  </si>
  <si>
    <t>Keperluan ATK</t>
  </si>
  <si>
    <t>Keperluan BBM</t>
  </si>
  <si>
    <t>Kebutuhan Catering</t>
  </si>
  <si>
    <t>Keperluan Listrik PLN</t>
  </si>
  <si>
    <t>Keperluan Pantry</t>
  </si>
  <si>
    <t>Keperluan Upah KHL</t>
  </si>
  <si>
    <t>No</t>
  </si>
  <si>
    <t>Nama Barang/Jasa</t>
  </si>
  <si>
    <t>Qty</t>
  </si>
  <si>
    <t>Satuan</t>
  </si>
  <si>
    <t>Harga Satuan</t>
  </si>
  <si>
    <t>Total Harga</t>
  </si>
  <si>
    <t>Pack</t>
  </si>
  <si>
    <t>Grand Total</t>
  </si>
  <si>
    <t>BBM Honda CRF BG 2053 BBF</t>
  </si>
  <si>
    <t>BBM Toyota Hilux Vendor Bobby 1</t>
  </si>
  <si>
    <t>BBM Toyota Hilux Vendor Bobby 2</t>
  </si>
  <si>
    <t>BBM Toyota Hilux Vendor Bobby 3</t>
  </si>
  <si>
    <t>Karyawan</t>
  </si>
  <si>
    <t>KHL</t>
  </si>
  <si>
    <t>PPAD</t>
  </si>
  <si>
    <t>Nama</t>
  </si>
  <si>
    <t>Jml Hari</t>
  </si>
  <si>
    <t>Makan/Hari</t>
  </si>
  <si>
    <t>Per Meal</t>
  </si>
  <si>
    <t>Pak Widodo</t>
  </si>
  <si>
    <t>Bu Ijah</t>
  </si>
  <si>
    <t>Catering Staff (7 Orang)</t>
  </si>
  <si>
    <t>Haris</t>
  </si>
  <si>
    <t>Bu Suryani</t>
  </si>
  <si>
    <t>Catering KHL (3 Orang)</t>
  </si>
  <si>
    <t>Gautama</t>
  </si>
  <si>
    <t>KHL Security Mess</t>
  </si>
  <si>
    <t>Aceng</t>
  </si>
  <si>
    <t>Dimas</t>
  </si>
  <si>
    <t>Heri Setiawan</t>
  </si>
  <si>
    <t>Pengganti SHE</t>
  </si>
  <si>
    <t>Grantotal</t>
  </si>
  <si>
    <t>Biaya perjalanan dinas &amp; Cuti</t>
  </si>
  <si>
    <t>Bks</t>
  </si>
  <si>
    <t>Pembersih Kamar mandi</t>
  </si>
  <si>
    <t>btl</t>
  </si>
  <si>
    <t>Tissue</t>
  </si>
  <si>
    <t>pack</t>
  </si>
  <si>
    <t>Pengharum Ruangan</t>
  </si>
  <si>
    <t>pcs</t>
  </si>
  <si>
    <t>Trashbag</t>
  </si>
  <si>
    <t>Pembersih Lantai</t>
  </si>
  <si>
    <t>Kamper Kamar mandi</t>
  </si>
  <si>
    <t>bks</t>
  </si>
  <si>
    <t>Semprotan nyamuk</t>
  </si>
  <si>
    <t>Obat nyamuk bakar</t>
  </si>
  <si>
    <t>Sabun cuci piring</t>
  </si>
  <si>
    <t>Upah ART Bu Ijah (Mess &amp; Kantor Sungai Lilin)</t>
  </si>
  <si>
    <t>Orang</t>
  </si>
  <si>
    <t>Upah ART Bu Suryani (Mess Tritunggal 1)</t>
  </si>
  <si>
    <t>Upah KHL M. Nuh (Security Mess Sungai lilin)</t>
  </si>
  <si>
    <t>Desc. WBS</t>
  </si>
  <si>
    <t>: Site EBL - RANTAU</t>
  </si>
  <si>
    <t>Tanggal</t>
  </si>
  <si>
    <t>PT ENERGI BATUBARA LESTARI
RENCANA ANGGARAN BULANAN (RAB)
Departemen HCGA</t>
  </si>
  <si>
    <t>Keperluan ATK W1 Oktober 2026</t>
  </si>
  <si>
    <t>Keperluan ATK W2 Oktober 2026</t>
  </si>
  <si>
    <t>Keperluan ATK W3 Oktober 2026</t>
  </si>
  <si>
    <t>Keperluan ATK W4 Oktober 2026</t>
  </si>
  <si>
    <t>Keperluan Air PDAM</t>
  </si>
  <si>
    <t>Keperluan Telp &amp; Internet</t>
  </si>
  <si>
    <t>Keperluan Pengajian</t>
  </si>
  <si>
    <t>Keperluan ….....</t>
  </si>
  <si>
    <t>Keperluan BBM W1 Oktober 2026</t>
  </si>
  <si>
    <t>Keperluan BBM W2 Oktober 2026</t>
  </si>
  <si>
    <t>Keperluan BBM W3 Oktober 2026</t>
  </si>
  <si>
    <t>Keperluan BBM W4 Oktober 2026</t>
  </si>
  <si>
    <t>Keperluan Catering W1 Oktober 2026</t>
  </si>
  <si>
    <t>Keperluan Catering W2 Oktober 2026</t>
  </si>
  <si>
    <t>Keperluan Catering W3 Oktober 2026</t>
  </si>
  <si>
    <t>Keperluan Catering W4 Oktober 2026</t>
  </si>
  <si>
    <t>Lumpsum Cuti Periodik Karyawan</t>
  </si>
  <si>
    <t>orang</t>
  </si>
  <si>
    <t>Perjalanan Dinas Karyawan</t>
  </si>
  <si>
    <t>Keperluan HCGS W1 Oktober 2026</t>
  </si>
  <si>
    <t>Keperluan HCGS W2 Oktober 2026</t>
  </si>
  <si>
    <t>Keperluan HCGS W3 Oktober 2026</t>
  </si>
  <si>
    <t>Keperluan HCGS W4 Oktober 2026</t>
  </si>
  <si>
    <t>Keperluan Listrik PLN W1 Oktober 2026</t>
  </si>
  <si>
    <t>Keperluan Listrik PLN W2 Oktober 2026</t>
  </si>
  <si>
    <t>Keperluan Listrik PLN W3 Oktober 2026</t>
  </si>
  <si>
    <t>Keperluan Listrik PLN W4 Oktober 2026</t>
  </si>
  <si>
    <t>Listrik Stockpile EBL</t>
  </si>
  <si>
    <t>Listrik Mess Kupang</t>
  </si>
  <si>
    <t>Listrik Gudang Handak EBL</t>
  </si>
  <si>
    <t>Listrik Office 42</t>
  </si>
  <si>
    <t>Listrik Kantor &amp; Mess EBL</t>
  </si>
  <si>
    <t>Keperluan Pantry W1 Oktober 2026</t>
  </si>
  <si>
    <t>Keperluan Pantry W2 Oktober 2026</t>
  </si>
  <si>
    <t>Keperluan Pantry W3 Oktober 2026</t>
  </si>
  <si>
    <t>Keperluan Pantry W4 Oktober 2026</t>
  </si>
  <si>
    <t>Air Galon</t>
  </si>
  <si>
    <t>Galon</t>
  </si>
  <si>
    <t>galon</t>
  </si>
  <si>
    <t>Halaman :        1/1</t>
  </si>
  <si>
    <t>Air PDAM Stockpile EBL</t>
  </si>
  <si>
    <t>Air PDAM Mess Kupang</t>
  </si>
  <si>
    <t>Air PDAM Gudang Handak EBL</t>
  </si>
  <si>
    <t>Air PDAM Office 42</t>
  </si>
  <si>
    <t>Air PDAM Kantor &amp; Mess EBL</t>
  </si>
  <si>
    <t>Keperluan Air PDAM PLN W1 Oktober 2026</t>
  </si>
  <si>
    <t>Keperluan Air PDAM PLN W2 Oktober 2026</t>
  </si>
  <si>
    <t>Keperluan Air PDAM PLN W3 Oktober 2026</t>
  </si>
  <si>
    <t>Keperluan Air PDAM PLN W4 Oktober 2026</t>
  </si>
  <si>
    <t>Gas LPG</t>
  </si>
  <si>
    <t>tabung</t>
  </si>
  <si>
    <t>Disetujui Oleh,</t>
  </si>
  <si>
    <t>Operation &amp; HCA Director</t>
  </si>
  <si>
    <t>Rahmad Pudjotomo</t>
  </si>
  <si>
    <t>Tanggal :</t>
  </si>
  <si>
    <t>Keperluan KHL W1 Oktober 2026</t>
  </si>
  <si>
    <t>Keperluan KHL W2 Oktober 2026</t>
  </si>
  <si>
    <t>Keperluan KHL W3 Oktober 2026</t>
  </si>
  <si>
    <t>Keperluan KHL W4 Oktober 2026</t>
  </si>
  <si>
    <t>Keperluan Telp &amp; Internet W1 Oktober 2026</t>
  </si>
  <si>
    <t>Keperluan Telp &amp; Internet W2 Oktober 2026</t>
  </si>
  <si>
    <t>Keperluan Telp &amp; Internet W3 Oktober 2026</t>
  </si>
  <si>
    <t>Keperluan Telp &amp; Internet W4 Oktober 2026</t>
  </si>
  <si>
    <t>WBS Element</t>
  </si>
  <si>
    <t>Description</t>
  </si>
  <si>
    <t>AB3.11-06.02.15.04</t>
  </si>
  <si>
    <t>CSR/Divisi/Operational Expense</t>
  </si>
  <si>
    <t>AB3.11-06.02.15.02</t>
  </si>
  <si>
    <t>CSR/Divisi/Perjalanan Dinas</t>
  </si>
  <si>
    <t>AB3.11-06.02.15.01</t>
  </si>
  <si>
    <t>CSR/Divisi/Training</t>
  </si>
  <si>
    <t>AB3.11-06.02.12.04</t>
  </si>
  <si>
    <t>Gudang Handak/Divisi/Operational Expense</t>
  </si>
  <si>
    <t>AB3.11-06.02.12.02</t>
  </si>
  <si>
    <t>Gudang Handak/Divisi/Perjalanan Dinas</t>
  </si>
  <si>
    <t>AB3.11-06.02.12.01</t>
  </si>
  <si>
    <t>Gudang Handak/Divisi/Training</t>
  </si>
  <si>
    <t>AB3.11-06.02.10.04</t>
  </si>
  <si>
    <t>HRGS Site/Divisi/Operational Expense</t>
  </si>
  <si>
    <t>AB3.11-06.02.10.02</t>
  </si>
  <si>
    <t>HRGS Site/Divisi/Perjalanan Dinas</t>
  </si>
  <si>
    <t>AB3.11-06.02.10.01</t>
  </si>
  <si>
    <t>HRGS Site/Divisi/Training</t>
  </si>
  <si>
    <t>AB3.11-06.02.11.03</t>
  </si>
  <si>
    <t>Operation/Divisi/Konsultan/Eksternal</t>
  </si>
  <si>
    <t>AB3.11-06.02.11.04</t>
  </si>
  <si>
    <t>Operation/Divisi/Operational Expense</t>
  </si>
  <si>
    <t>AB3.11-06.02.11.05</t>
  </si>
  <si>
    <t>Operation/Divisi/Perizinan</t>
  </si>
  <si>
    <t>AB3.11-06.02.11.02</t>
  </si>
  <si>
    <t>Operation/Divisi/Perjalanan Dinas</t>
  </si>
  <si>
    <t>AB3.11-06.02.11.01</t>
  </si>
  <si>
    <t>Operation/Divisi/Training</t>
  </si>
  <si>
    <t>AB3.11-06.02.09.04</t>
  </si>
  <si>
    <t>PPIC/Divisi/Operational Expense</t>
  </si>
  <si>
    <t>AB3.11-06.02.09.02</t>
  </si>
  <si>
    <t>PPIC/Divisi/Perjalanan Dinas</t>
  </si>
  <si>
    <t>AB3.11-06.02.09.01</t>
  </si>
  <si>
    <t>PPIC/Divisi/Training</t>
  </si>
  <si>
    <t>AB3.11-06.02.22.04</t>
  </si>
  <si>
    <t>Revegetasi R&amp;R/Divisi/Operational Expens</t>
  </si>
  <si>
    <t>AB3.11-06.02.22.02</t>
  </si>
  <si>
    <t>Revegetasi R&amp;R/Divisi/Perjalanan Dinas</t>
  </si>
  <si>
    <t>AB3.11-06.02.22.01</t>
  </si>
  <si>
    <t>Revegetasi R&amp;R/Divisi/Training</t>
  </si>
  <si>
    <t>AB3.11-06.02.13.03</t>
  </si>
  <si>
    <t>SHE/Divisi/Konsultan/Eksternal</t>
  </si>
  <si>
    <t>AB3.11-06.02.13.04</t>
  </si>
  <si>
    <t>SHE/Divisi/Operational Expense</t>
  </si>
  <si>
    <t>AB3.11-06.02.13.05</t>
  </si>
  <si>
    <t>SHE/Divisi/Perizinan</t>
  </si>
  <si>
    <t>AB3.11-06.02.13.02</t>
  </si>
  <si>
    <t>SHE/Divisi/Perjalanan Dinas</t>
  </si>
  <si>
    <t>AB3.11-06.02.13.01</t>
  </si>
  <si>
    <t>SHE/Divisi/Training</t>
  </si>
  <si>
    <t>Kode WBS / Cost Center</t>
  </si>
  <si>
    <t>Perdin &amp; Cuti Karyawan</t>
  </si>
  <si>
    <t>Bulan : Oktober                                          Tahun : 2026</t>
  </si>
  <si>
    <t>jika total nilai &gt;25jt (Approval s/d Pak Rahmad)</t>
  </si>
  <si>
    <t>Pembayaran Indihome PT EBL ( Mess Kantor)</t>
  </si>
  <si>
    <t>Pembayaran Indihome PT EBL ( Mess Tahura)</t>
  </si>
  <si>
    <t>Pembayaran Telkom Speedy PT EBL (Kantor)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</si>
</sst>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[$Rp-421]* #,##0_);_([$Rp-421]* \(#,##0\);_([$Rp-421]* &quot;-&quot;??_);_(@_)"/>
    <numFmt numFmtId="166" formatCode="_(* #,##0_);_(* \(#,##0\);_(* &quot;-&quot;??_);_(@_)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36"/>
      <name val="Arial"/>
      <family val="2"/>
    </font>
    <font>
      <b/>
      <sz val="8"/>
      <color theme="4" tint="-0.249977111117893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b/>
      <i/>
      <sz val="10"/>
      <name val="Verdana"/>
      <family val="2"/>
    </font>
    <font>
      <sz val="10"/>
      <name val="Verdana"/>
      <family val="2"/>
    </font>
    <font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2"/>
      <name val="Aptos Narrow"/>
      <family val="2"/>
      <scheme val="minor"/>
    </font>
    <font>
      <b/>
      <sz val="14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b/>
      <sz val="16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5"/>
      <name val="Arial"/>
      <family val="2"/>
    </font>
    <font>
      <sz val="11"/>
      <color rgb="FF000000"/>
      <name val="Aptos Narrow"/>
      <family val="2"/>
      <scheme val="minor"/>
    </font>
    <font>
      <sz val="9"/>
      <color theme="1"/>
      <name val="Aptos Narrow (Body)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</cellStyleXfs>
  <cellXfs count="214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5" xfId="0" applyFont="1" applyBorder="1"/>
    <xf numFmtId="0" fontId="6" fillId="0" borderId="0" xfId="0" applyFont="1"/>
    <xf numFmtId="16" fontId="6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164" fontId="6" fillId="0" borderId="0" xfId="1" applyFont="1" applyFill="1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left"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horizontal="left" vertical="center"/>
    </xf>
    <xf numFmtId="0" fontId="6" fillId="0" borderId="39" xfId="0" quotePrefix="1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 wrapText="1"/>
    </xf>
    <xf numFmtId="164" fontId="11" fillId="0" borderId="0" xfId="1" applyFont="1" applyFill="1" applyBorder="1" applyAlignment="1">
      <alignment horizontal="center" vertical="center"/>
    </xf>
    <xf numFmtId="0" fontId="12" fillId="0" borderId="0" xfId="2" applyFont="1"/>
    <xf numFmtId="0" fontId="12" fillId="0" borderId="47" xfId="2" applyFont="1" applyBorder="1" applyAlignment="1">
      <alignment horizontal="center" vertical="center"/>
    </xf>
    <xf numFmtId="0" fontId="12" fillId="0" borderId="48" xfId="2" applyFont="1" applyBorder="1"/>
    <xf numFmtId="0" fontId="12" fillId="0" borderId="48" xfId="2" applyFont="1" applyBorder="1" applyAlignment="1">
      <alignment horizontal="center"/>
    </xf>
    <xf numFmtId="166" fontId="12" fillId="0" borderId="48" xfId="3" applyNumberFormat="1" applyFont="1" applyBorder="1"/>
    <xf numFmtId="3" fontId="1" fillId="0" borderId="49" xfId="2" applyNumberFormat="1" applyFont="1" applyBorder="1" applyAlignment="1">
      <alignment vertical="center"/>
    </xf>
    <xf numFmtId="3" fontId="12" fillId="0" borderId="0" xfId="2" applyNumberFormat="1" applyFont="1"/>
    <xf numFmtId="0" fontId="14" fillId="0" borderId="48" xfId="2" applyFont="1" applyBorder="1" applyAlignment="1">
      <alignment horizontal="left"/>
    </xf>
    <xf numFmtId="166" fontId="14" fillId="0" borderId="48" xfId="3" applyNumberFormat="1" applyFont="1" applyFill="1" applyBorder="1"/>
    <xf numFmtId="0" fontId="12" fillId="0" borderId="48" xfId="2" applyFont="1" applyBorder="1" applyAlignment="1">
      <alignment horizontal="left"/>
    </xf>
    <xf numFmtId="0" fontId="14" fillId="0" borderId="50" xfId="2" applyFont="1" applyBorder="1" applyAlignment="1">
      <alignment horizontal="left"/>
    </xf>
    <xf numFmtId="0" fontId="12" fillId="0" borderId="50" xfId="2" applyFont="1" applyBorder="1" applyAlignment="1">
      <alignment horizontal="center"/>
    </xf>
    <xf numFmtId="166" fontId="14" fillId="0" borderId="50" xfId="3" applyNumberFormat="1" applyFont="1" applyFill="1" applyBorder="1"/>
    <xf numFmtId="3" fontId="1" fillId="0" borderId="51" xfId="2" applyNumberFormat="1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4" fillId="0" borderId="32" xfId="2" applyFont="1" applyBorder="1" applyAlignment="1">
      <alignment horizontal="left"/>
    </xf>
    <xf numFmtId="0" fontId="12" fillId="0" borderId="32" xfId="2" applyFont="1" applyBorder="1" applyAlignment="1">
      <alignment horizontal="center"/>
    </xf>
    <xf numFmtId="0" fontId="12" fillId="0" borderId="32" xfId="2" applyFont="1" applyBorder="1" applyAlignment="1">
      <alignment horizontal="left"/>
    </xf>
    <xf numFmtId="166" fontId="14" fillId="0" borderId="32" xfId="3" applyNumberFormat="1" applyFont="1" applyFill="1" applyBorder="1"/>
    <xf numFmtId="3" fontId="1" fillId="0" borderId="34" xfId="2" applyNumberFormat="1" applyFont="1" applyBorder="1" applyAlignment="1">
      <alignment vertical="center"/>
    </xf>
    <xf numFmtId="3" fontId="13" fillId="0" borderId="52" xfId="2" applyNumberFormat="1" applyFont="1" applyBorder="1" applyAlignment="1">
      <alignment vertical="center"/>
    </xf>
    <xf numFmtId="166" fontId="12" fillId="0" borderId="0" xfId="3" applyNumberFormat="1" applyFont="1"/>
    <xf numFmtId="164" fontId="12" fillId="0" borderId="0" xfId="3" applyFont="1" applyBorder="1" applyAlignment="1">
      <alignment horizontal="center"/>
    </xf>
    <xf numFmtId="164" fontId="12" fillId="0" borderId="0" xfId="3" applyFont="1" applyBorder="1"/>
    <xf numFmtId="0" fontId="2" fillId="0" borderId="0" xfId="2" applyFont="1" applyAlignment="1">
      <alignment horizont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/>
    </xf>
    <xf numFmtId="0" fontId="12" fillId="0" borderId="0" xfId="2" applyFont="1" applyAlignment="1">
      <alignment horizontal="left"/>
    </xf>
    <xf numFmtId="166" fontId="12" fillId="0" borderId="0" xfId="3" applyNumberFormat="1" applyFont="1" applyBorder="1"/>
    <xf numFmtId="3" fontId="2" fillId="0" borderId="0" xfId="2" applyNumberFormat="1" applyFont="1" applyAlignment="1">
      <alignment vertical="center"/>
    </xf>
    <xf numFmtId="3" fontId="16" fillId="2" borderId="52" xfId="2" applyNumberFormat="1" applyFont="1" applyFill="1" applyBorder="1" applyAlignment="1">
      <alignment vertical="center"/>
    </xf>
    <xf numFmtId="0" fontId="14" fillId="0" borderId="0" xfId="2" applyFont="1" applyAlignment="1">
      <alignment horizontal="left"/>
    </xf>
    <xf numFmtId="166" fontId="12" fillId="0" borderId="0" xfId="3" applyNumberFormat="1" applyFont="1" applyBorder="1" applyAlignment="1">
      <alignment horizontal="center"/>
    </xf>
    <xf numFmtId="166" fontId="14" fillId="0" borderId="0" xfId="3" applyNumberFormat="1" applyFont="1" applyFill="1" applyBorder="1"/>
    <xf numFmtId="0" fontId="14" fillId="0" borderId="0" xfId="2" applyFont="1" applyAlignment="1">
      <alignment horizontal="center"/>
    </xf>
    <xf numFmtId="0" fontId="18" fillId="0" borderId="0" xfId="2" applyFont="1"/>
    <xf numFmtId="3" fontId="18" fillId="0" borderId="0" xfId="2" applyNumberFormat="1" applyFont="1"/>
    <xf numFmtId="0" fontId="2" fillId="0" borderId="48" xfId="0" applyFont="1" applyBorder="1" applyAlignment="1">
      <alignment horizontal="center"/>
    </xf>
    <xf numFmtId="0" fontId="2" fillId="0" borderId="50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8" xfId="0" applyFont="1" applyBorder="1"/>
    <xf numFmtId="0" fontId="1" fillId="0" borderId="48" xfId="0" applyFont="1" applyBorder="1" applyAlignment="1">
      <alignment horizontal="center"/>
    </xf>
    <xf numFmtId="166" fontId="1" fillId="0" borderId="48" xfId="3" applyNumberFormat="1" applyFont="1" applyBorder="1"/>
    <xf numFmtId="166" fontId="1" fillId="0" borderId="48" xfId="3" applyNumberFormat="1" applyFont="1" applyFill="1" applyBorder="1"/>
    <xf numFmtId="166" fontId="1" fillId="0" borderId="48" xfId="0" applyNumberFormat="1" applyFont="1" applyBorder="1"/>
    <xf numFmtId="0" fontId="12" fillId="0" borderId="48" xfId="0" applyFont="1" applyBorder="1"/>
    <xf numFmtId="166" fontId="2" fillId="0" borderId="50" xfId="0" applyNumberFormat="1" applyFont="1" applyBorder="1" applyAlignment="1">
      <alignment horizontal="center"/>
    </xf>
    <xf numFmtId="166" fontId="2" fillId="0" borderId="50" xfId="0" applyNumberFormat="1" applyFont="1" applyBorder="1"/>
    <xf numFmtId="0" fontId="14" fillId="0" borderId="48" xfId="2" applyFont="1" applyBorder="1" applyAlignment="1">
      <alignment horizontal="center"/>
    </xf>
    <xf numFmtId="0" fontId="14" fillId="0" borderId="50" xfId="2" applyFont="1" applyBorder="1" applyAlignment="1">
      <alignment horizontal="center"/>
    </xf>
    <xf numFmtId="166" fontId="3" fillId="0" borderId="48" xfId="3" applyNumberFormat="1" applyFont="1" applyBorder="1"/>
    <xf numFmtId="0" fontId="0" fillId="0" borderId="48" xfId="0" applyBorder="1"/>
    <xf numFmtId="0" fontId="0" fillId="0" borderId="57" xfId="0" applyBorder="1"/>
    <xf numFmtId="0" fontId="1" fillId="0" borderId="56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50" xfId="0" applyFont="1" applyBorder="1"/>
    <xf numFmtId="166" fontId="12" fillId="0" borderId="0" xfId="1" applyNumberFormat="1" applyFont="1"/>
    <xf numFmtId="166" fontId="12" fillId="0" borderId="0" xfId="2" applyNumberFormat="1" applyFont="1"/>
    <xf numFmtId="0" fontId="20" fillId="0" borderId="28" xfId="0" applyFont="1" applyBorder="1" applyAlignment="1">
      <alignment horizontal="left" vertical="center"/>
    </xf>
    <xf numFmtId="0" fontId="20" fillId="0" borderId="28" xfId="0" applyFont="1" applyBorder="1" applyAlignment="1">
      <alignment horizontal="center" vertical="center"/>
    </xf>
    <xf numFmtId="166" fontId="20" fillId="0" borderId="28" xfId="3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66" fontId="20" fillId="0" borderId="48" xfId="3" applyNumberFormat="1" applyFont="1" applyBorder="1" applyAlignment="1">
      <alignment horizontal="center" vertical="center"/>
    </xf>
    <xf numFmtId="0" fontId="21" fillId="0" borderId="48" xfId="0" applyFont="1" applyBorder="1"/>
    <xf numFmtId="0" fontId="20" fillId="0" borderId="48" xfId="2" applyFont="1" applyBorder="1" applyAlignment="1">
      <alignment horizontal="left"/>
    </xf>
    <xf numFmtId="0" fontId="21" fillId="0" borderId="48" xfId="2" applyFont="1" applyBorder="1" applyAlignment="1">
      <alignment horizontal="center"/>
    </xf>
    <xf numFmtId="166" fontId="20" fillId="0" borderId="48" xfId="3" applyNumberFormat="1" applyFont="1" applyFill="1" applyBorder="1"/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9" xfId="0" applyFont="1" applyBorder="1"/>
    <xf numFmtId="165" fontId="6" fillId="0" borderId="36" xfId="0" applyNumberFormat="1" applyFont="1" applyBorder="1" applyAlignment="1">
      <alignment vertical="center"/>
    </xf>
    <xf numFmtId="165" fontId="6" fillId="0" borderId="38" xfId="0" applyNumberFormat="1" applyFont="1" applyBorder="1" applyAlignment="1">
      <alignment vertical="center"/>
    </xf>
    <xf numFmtId="165" fontId="6" fillId="0" borderId="38" xfId="1" applyNumberFormat="1" applyFont="1" applyFill="1" applyBorder="1" applyAlignment="1">
      <alignment vertical="center"/>
    </xf>
    <xf numFmtId="165" fontId="6" fillId="0" borderId="39" xfId="0" applyNumberFormat="1" applyFont="1" applyBorder="1" applyAlignment="1">
      <alignment vertical="center"/>
    </xf>
    <xf numFmtId="0" fontId="6" fillId="0" borderId="1" xfId="0" applyFont="1" applyBorder="1"/>
    <xf numFmtId="0" fontId="6" fillId="0" borderId="2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 applyAlignment="1">
      <alignment vertical="center"/>
    </xf>
    <xf numFmtId="0" fontId="6" fillId="0" borderId="57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5" xfId="0" applyFont="1" applyBorder="1"/>
    <xf numFmtId="0" fontId="6" fillId="0" borderId="8" xfId="0" applyFont="1" applyBorder="1"/>
    <xf numFmtId="0" fontId="4" fillId="0" borderId="0" xfId="0" applyFont="1" applyAlignment="1">
      <alignment vertical="center"/>
    </xf>
    <xf numFmtId="0" fontId="23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6" xfId="0" applyFont="1" applyBorder="1"/>
    <xf numFmtId="0" fontId="3" fillId="0" borderId="10" xfId="0" applyFont="1" applyBorder="1"/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64" xfId="0" applyFont="1" applyBorder="1"/>
    <xf numFmtId="0" fontId="6" fillId="0" borderId="65" xfId="0" applyFont="1" applyBorder="1"/>
    <xf numFmtId="0" fontId="6" fillId="0" borderId="68" xfId="0" applyFont="1" applyBorder="1"/>
    <xf numFmtId="0" fontId="6" fillId="0" borderId="69" xfId="0" applyFont="1" applyBorder="1"/>
    <xf numFmtId="165" fontId="9" fillId="0" borderId="4" xfId="1" applyNumberFormat="1" applyFont="1" applyFill="1" applyBorder="1" applyAlignment="1">
      <alignment vertical="center"/>
    </xf>
    <xf numFmtId="165" fontId="9" fillId="0" borderId="7" xfId="1" applyNumberFormat="1" applyFont="1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48" xfId="0" applyFont="1" applyBorder="1" applyAlignment="1">
      <alignment horizontal="center"/>
    </xf>
    <xf numFmtId="0" fontId="29" fillId="0" borderId="54" xfId="0" applyFont="1" applyBorder="1"/>
    <xf numFmtId="0" fontId="29" fillId="0" borderId="72" xfId="0" applyFont="1" applyBorder="1" applyAlignment="1">
      <alignment horizontal="center"/>
    </xf>
    <xf numFmtId="0" fontId="29" fillId="0" borderId="48" xfId="0" applyFont="1" applyBorder="1"/>
    <xf numFmtId="0" fontId="28" fillId="0" borderId="50" xfId="0" applyFont="1" applyBorder="1" applyAlignment="1">
      <alignment horizontal="center"/>
    </xf>
    <xf numFmtId="0" fontId="0" fillId="3" borderId="0" xfId="0" applyFill="1"/>
    <xf numFmtId="0" fontId="0" fillId="4" borderId="48" xfId="0" applyFill="1" applyBorder="1" applyAlignment="1">
      <alignment horizontal="center"/>
    </xf>
    <xf numFmtId="0" fontId="8" fillId="0" borderId="30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65" fontId="10" fillId="0" borderId="70" xfId="0" applyNumberFormat="1" applyFont="1" applyBorder="1" applyAlignment="1">
      <alignment horizontal="center" vertical="center" wrapText="1"/>
    </xf>
    <xf numFmtId="0" fontId="9" fillId="0" borderId="71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165" fontId="10" fillId="0" borderId="41" xfId="0" applyNumberFormat="1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8" fillId="0" borderId="27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66" xfId="0" applyFont="1" applyBorder="1" applyAlignment="1">
      <alignment horizontal="left" vertical="center"/>
    </xf>
    <xf numFmtId="0" fontId="7" fillId="0" borderId="67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7" fillId="0" borderId="73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6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63" xfId="0" applyFont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0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2" fillId="0" borderId="0" xfId="2" applyFont="1" applyAlignment="1">
      <alignment horizontal="center" vertical="center"/>
    </xf>
    <xf numFmtId="0" fontId="17" fillId="0" borderId="0" xfId="2" applyFont="1" applyAlignment="1">
      <alignment horizontal="right" vertical="center" wrapText="1" indent="1"/>
    </xf>
    <xf numFmtId="0" fontId="16" fillId="2" borderId="44" xfId="2" applyFont="1" applyFill="1" applyBorder="1" applyAlignment="1">
      <alignment horizontal="center" vertical="center"/>
    </xf>
    <xf numFmtId="0" fontId="16" fillId="2" borderId="45" xfId="2" applyFont="1" applyFill="1" applyBorder="1" applyAlignment="1">
      <alignment horizontal="center" vertical="center"/>
    </xf>
    <xf numFmtId="0" fontId="16" fillId="2" borderId="46" xfId="2" applyFont="1" applyFill="1" applyBorder="1" applyAlignment="1">
      <alignment horizontal="center" vertical="center"/>
    </xf>
    <xf numFmtId="0" fontId="2" fillId="0" borderId="0" xfId="2" applyFont="1" applyAlignment="1">
      <alignment horizontal="left"/>
    </xf>
    <xf numFmtId="0" fontId="15" fillId="0" borderId="44" xfId="2" applyFont="1" applyBorder="1" applyAlignment="1">
      <alignment horizontal="center" vertical="center" wrapText="1"/>
    </xf>
    <xf numFmtId="0" fontId="15" fillId="0" borderId="45" xfId="2" applyFont="1" applyBorder="1" applyAlignment="1">
      <alignment horizontal="center" vertical="center" wrapText="1"/>
    </xf>
    <xf numFmtId="0" fontId="13" fillId="0" borderId="44" xfId="2" applyFont="1" applyBorder="1" applyAlignment="1">
      <alignment horizontal="center" vertical="center"/>
    </xf>
    <xf numFmtId="0" fontId="13" fillId="0" borderId="45" xfId="2" applyFont="1" applyBorder="1" applyAlignment="1">
      <alignment horizontal="center" vertical="center"/>
    </xf>
    <xf numFmtId="0" fontId="13" fillId="0" borderId="46" xfId="2" applyFont="1" applyBorder="1" applyAlignment="1">
      <alignment horizontal="center" vertical="center"/>
    </xf>
    <xf numFmtId="0" fontId="2" fillId="0" borderId="27" xfId="2" applyFont="1" applyBorder="1" applyAlignment="1">
      <alignment horizontal="center" vertical="center"/>
    </xf>
    <xf numFmtId="0" fontId="2" fillId="0" borderId="31" xfId="2" applyFont="1" applyBorder="1" applyAlignment="1">
      <alignment horizontal="center" vertical="center"/>
    </xf>
    <xf numFmtId="0" fontId="2" fillId="0" borderId="28" xfId="2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30" xfId="2" applyFont="1" applyBorder="1" applyAlignment="1">
      <alignment horizontal="center" vertical="center"/>
    </xf>
    <xf numFmtId="0" fontId="2" fillId="0" borderId="34" xfId="2" applyFont="1" applyBorder="1" applyAlignment="1">
      <alignment horizontal="center" vertical="center"/>
    </xf>
    <xf numFmtId="0" fontId="24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 vertical="center"/>
    </xf>
    <xf numFmtId="0" fontId="25" fillId="0" borderId="22" xfId="2" applyFont="1" applyBorder="1" applyAlignment="1">
      <alignment horizontal="center" vertic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19" fillId="0" borderId="59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166" fontId="19" fillId="0" borderId="44" xfId="0" applyNumberFormat="1" applyFont="1" applyBorder="1" applyAlignment="1">
      <alignment horizontal="center" vertical="center"/>
    </xf>
    <xf numFmtId="166" fontId="19" fillId="0" borderId="45" xfId="0" applyNumberFormat="1" applyFont="1" applyBorder="1" applyAlignment="1">
      <alignment horizontal="center" vertical="center"/>
    </xf>
    <xf numFmtId="166" fontId="19" fillId="0" borderId="46" xfId="0" applyNumberFormat="1" applyFont="1" applyBorder="1" applyAlignment="1">
      <alignment horizontal="center" vertical="center"/>
    </xf>
    <xf numFmtId="0" fontId="2" fillId="0" borderId="53" xfId="2" applyFont="1" applyBorder="1" applyAlignment="1">
      <alignment horizontal="center" vertical="center"/>
    </xf>
    <xf numFmtId="0" fontId="2" fillId="0" borderId="54" xfId="2" applyFont="1" applyBorder="1" applyAlignment="1">
      <alignment horizontal="center" vertical="center"/>
    </xf>
    <xf numFmtId="0" fontId="2" fillId="0" borderId="55" xfId="2" applyFont="1" applyBorder="1" applyAlignment="1">
      <alignment horizontal="center" vertical="center"/>
    </xf>
    <xf numFmtId="0" fontId="13" fillId="0" borderId="44" xfId="2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5" xfId="0" applyFont="1" applyBorder="1" applyAlignment="1">
      <alignment horizontal="center"/>
    </xf>
  </cellXfs>
  <cellStyles count="4">
    <cellStyle name="Comma" xfId="1" builtinId="3"/>
    <cellStyle name="Comma 2" xfId="3" xr:uid="{DCF73D0C-DC4E-43D1-A15A-3766A5C728D5}"/>
    <cellStyle name="Normal" xfId="0" builtinId="0"/>
    <cellStyle name="Normal 2" xfId="2" xr:uid="{1E13BBE9-E98E-4983-B1B6-45976AA351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147864</xdr:colOff>
      <xdr:row>1</xdr:row>
      <xdr:rowOff>48624</xdr:rowOff>
    </xdr:from>
    <xdr:to>
      <xdr:col>2</xdr:col>
      <xdr:colOff>709439</xdr:colOff>
      <xdr:row>4</xdr:row>
      <xdr:rowOff>52635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336C2B-8FAD-E53E-00A0-F2F86B0F8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221" y="239124"/>
          <a:ext cx="561575" cy="548297"/>
        </a:xfrm>
        <a:prstGeom prst="rect">
          <a:avLst/>
        </a:prstGeom>
      </xdr:spPr>
    </xdr:pic>
    <xdr:clientData/>
  </xdr:twoCellAnchor>
  <xdr:twoCellAnchor>
    <xdr:from>
      <xdr:col>2</xdr:col>
      <xdr:colOff>53340</xdr:colOff>
      <xdr:row>2</xdr:row>
      <xdr:rowOff>175260</xdr:rowOff>
    </xdr:from>
    <xdr:to>
      <xdr:col>8</xdr:col>
      <xdr:colOff>1493520</xdr:colOff>
      <xdr:row>4</xdr:row>
      <xdr:rowOff>182880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892A40D-2C13-4B37-8EE2-61B9A1638521}"/>
            </a:ext>
          </a:extLst>
        </xdr:cNvPr>
        <xdr:cNvSpPr/>
      </xdr:nvSpPr>
      <xdr:spPr>
        <a:xfrm>
          <a:off x="1272540" y="548640"/>
          <a:ext cx="938022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D" sz="2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15437</xdr:colOff>
      <xdr:row>8</xdr:row>
      <xdr:rowOff>149453</xdr:rowOff>
    </xdr:from>
    <xdr:to>
      <xdr:col>8</xdr:col>
      <xdr:colOff>931608</xdr:colOff>
      <xdr:row>15</xdr:row>
      <xdr:rowOff>72004</xdr:rowOff>
    </xdr:to>
    <xdr:grpSp>
      <xdr:nvGrpSpPr>
        <xdr:cNvPr id="1039" name="Group 1038">
          <a:extLst>
            <a:ext uri="{FF2B5EF4-FFF2-40B4-BE49-F238E27FC236}">
              <a16:creationId xmlns:a16="http://schemas.microsoft.com/office/drawing/2014/main" id="{30B68D3E-BDD1-A499-B466-1F512679299E}"/>
            </a:ext>
          </a:extLst>
        </xdr:cNvPr>
        <xdr:cNvGrpSpPr/>
      </xdr:nvGrpSpPr>
      <xdr:grpSpPr>
        <a:xfrm>
          <a:off x="4542080" y="1637167"/>
          <a:ext cx="7139171" cy="1455623"/>
          <a:chOff x="9304579" y="1936524"/>
          <a:chExt cx="7139171" cy="1301408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A1C5354E-AE9F-B187-4EF4-9442639F7C7E}"/>
              </a:ext>
            </a:extLst>
          </xdr:cNvPr>
          <xdr:cNvGrpSpPr/>
        </xdr:nvGrpSpPr>
        <xdr:grpSpPr>
          <a:xfrm>
            <a:off x="9304579" y="1936524"/>
            <a:ext cx="7139171" cy="1301408"/>
            <a:chOff x="4933546" y="1699271"/>
            <a:chExt cx="7128007" cy="1319551"/>
          </a:xfrm>
        </xdr:grpSpPr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33FA1FB4-CA8E-FB4D-1247-AB5CA4AC0084}"/>
                </a:ext>
              </a:extLst>
            </xdr:cNvPr>
            <xdr:cNvGrpSpPr/>
          </xdr:nvGrpSpPr>
          <xdr:grpSpPr>
            <a:xfrm>
              <a:off x="4933546" y="1699271"/>
              <a:ext cx="7125875" cy="1319551"/>
              <a:chOff x="4938430" y="1704155"/>
              <a:chExt cx="7125875" cy="1319551"/>
            </a:xfrm>
          </xdr:grpSpPr>
          <xdr:cxnSp macro="">
            <xdr:nvCxnSpPr>
              <xdr:cNvPr id="35" name="Straight Connector 34">
                <a:extLst>
                  <a:ext uri="{FF2B5EF4-FFF2-40B4-BE49-F238E27FC236}">
                    <a16:creationId xmlns:a16="http://schemas.microsoft.com/office/drawing/2014/main" id="{C0E953AE-14A9-4474-BE73-FA10679F7CEF}"/>
                  </a:ext>
                </a:extLst>
              </xdr:cNvPr>
              <xdr:cNvCxnSpPr/>
            </xdr:nvCxnSpPr>
            <xdr:spPr>
              <a:xfrm>
                <a:off x="10296769" y="1738923"/>
                <a:ext cx="0" cy="277028"/>
              </a:xfrm>
              <a:prstGeom prst="line">
                <a:avLst/>
              </a:prstGeom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grpSp>
            <xdr:nvGrpSpPr>
              <xdr:cNvPr id="51" name="Group 50">
                <a:extLst>
                  <a:ext uri="{FF2B5EF4-FFF2-40B4-BE49-F238E27FC236}">
                    <a16:creationId xmlns:a16="http://schemas.microsoft.com/office/drawing/2014/main" id="{3C171D4D-2AE5-9728-6A6D-8D4243DA3EF8}"/>
                  </a:ext>
                </a:extLst>
              </xdr:cNvPr>
              <xdr:cNvGrpSpPr/>
            </xdr:nvGrpSpPr>
            <xdr:grpSpPr>
              <a:xfrm>
                <a:off x="4938430" y="1704155"/>
                <a:ext cx="7125875" cy="1319551"/>
                <a:chOff x="4419963" y="1941407"/>
                <a:chExt cx="7137039" cy="1301408"/>
              </a:xfrm>
            </xdr:grpSpPr>
            <xdr:grpSp>
              <xdr:nvGrpSpPr>
                <xdr:cNvPr id="40" name="Group 39">
                  <a:extLst>
                    <a:ext uri="{FF2B5EF4-FFF2-40B4-BE49-F238E27FC236}">
                      <a16:creationId xmlns:a16="http://schemas.microsoft.com/office/drawing/2014/main" id="{73C24AB1-5B25-9663-12B4-DEDE86B2F00F}"/>
                    </a:ext>
                  </a:extLst>
                </xdr:cNvPr>
                <xdr:cNvGrpSpPr/>
              </xdr:nvGrpSpPr>
              <xdr:grpSpPr>
                <a:xfrm>
                  <a:off x="4419963" y="1941407"/>
                  <a:ext cx="7137039" cy="1301408"/>
                  <a:chOff x="8607332" y="1496904"/>
                  <a:chExt cx="10270310" cy="1210694"/>
                </a:xfrm>
              </xdr:grpSpPr>
              <xdr:sp macro="" textlink="">
                <xdr:nvSpPr>
                  <xdr:cNvPr id="4" name="Rectangle 3">
                    <a:extLst>
                      <a:ext uri="{FF2B5EF4-FFF2-40B4-BE49-F238E27FC236}">
                        <a16:creationId xmlns:a16="http://schemas.microsoft.com/office/drawing/2014/main" id="{7564E30D-ADC3-FA74-2F10-9104B841A5D1}"/>
                      </a:ext>
                    </a:extLst>
                  </xdr:cNvPr>
                  <xdr:cNvSpPr/>
                </xdr:nvSpPr>
                <xdr:spPr>
                  <a:xfrm>
                    <a:off x="8607333" y="1537636"/>
                    <a:ext cx="2575780" cy="1101817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5" name="Rectangle 4">
                    <a:extLst>
                      <a:ext uri="{FF2B5EF4-FFF2-40B4-BE49-F238E27FC236}">
                        <a16:creationId xmlns:a16="http://schemas.microsoft.com/office/drawing/2014/main" id="{8A87A87D-1653-0989-A526-C694857572B7}"/>
                      </a:ext>
                    </a:extLst>
                  </xdr:cNvPr>
                  <xdr:cNvSpPr/>
                </xdr:nvSpPr>
                <xdr:spPr>
                  <a:xfrm>
                    <a:off x="11183114" y="1537636"/>
                    <a:ext cx="2575780" cy="1101817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6" name="Rectangle 5">
                    <a:extLst>
                      <a:ext uri="{FF2B5EF4-FFF2-40B4-BE49-F238E27FC236}">
                        <a16:creationId xmlns:a16="http://schemas.microsoft.com/office/drawing/2014/main" id="{AD8F23DD-C457-9BC6-F967-BD7573FB7D55}"/>
                      </a:ext>
                    </a:extLst>
                  </xdr:cNvPr>
                  <xdr:cNvSpPr/>
                </xdr:nvSpPr>
                <xdr:spPr>
                  <a:xfrm>
                    <a:off x="13758893" y="1720401"/>
                    <a:ext cx="2569392" cy="919050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7" name="Rectangle 6">
                    <a:extLst>
                      <a:ext uri="{FF2B5EF4-FFF2-40B4-BE49-F238E27FC236}">
                        <a16:creationId xmlns:a16="http://schemas.microsoft.com/office/drawing/2014/main" id="{419786AD-37CC-1CC9-7B57-518AB67F504A}"/>
                      </a:ext>
                    </a:extLst>
                  </xdr:cNvPr>
                  <xdr:cNvSpPr/>
                </xdr:nvSpPr>
                <xdr:spPr>
                  <a:xfrm>
                    <a:off x="8607333" y="1537636"/>
                    <a:ext cx="2575780" cy="182766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8" name="Rectangle 7">
                    <a:extLst>
                      <a:ext uri="{FF2B5EF4-FFF2-40B4-BE49-F238E27FC236}">
                        <a16:creationId xmlns:a16="http://schemas.microsoft.com/office/drawing/2014/main" id="{65694E51-DF16-144E-DCF4-C64EC030E6A0}"/>
                      </a:ext>
                    </a:extLst>
                  </xdr:cNvPr>
                  <xdr:cNvSpPr/>
                </xdr:nvSpPr>
                <xdr:spPr>
                  <a:xfrm>
                    <a:off x="11183114" y="1537636"/>
                    <a:ext cx="2575780" cy="182766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9" name="Rectangle 8">
                    <a:extLst>
                      <a:ext uri="{FF2B5EF4-FFF2-40B4-BE49-F238E27FC236}">
                        <a16:creationId xmlns:a16="http://schemas.microsoft.com/office/drawing/2014/main" id="{DF7FE455-311F-0581-8F26-C31E1E276787}"/>
                      </a:ext>
                    </a:extLst>
                  </xdr:cNvPr>
                  <xdr:cNvSpPr/>
                </xdr:nvSpPr>
                <xdr:spPr>
                  <a:xfrm>
                    <a:off x="13758893" y="1537636"/>
                    <a:ext cx="5118749" cy="182766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10" name="Rectangle 9">
                    <a:extLst>
                      <a:ext uri="{FF2B5EF4-FFF2-40B4-BE49-F238E27FC236}">
                        <a16:creationId xmlns:a16="http://schemas.microsoft.com/office/drawing/2014/main" id="{2DD2DCA3-C6C7-C4E0-E2D3-C4712F9FF7CA}"/>
                      </a:ext>
                    </a:extLst>
                  </xdr:cNvPr>
                  <xdr:cNvSpPr/>
                </xdr:nvSpPr>
                <xdr:spPr>
                  <a:xfrm>
                    <a:off x="8607332" y="2456685"/>
                    <a:ext cx="2575780" cy="181721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11" name="Rectangle 10">
                    <a:extLst>
                      <a:ext uri="{FF2B5EF4-FFF2-40B4-BE49-F238E27FC236}">
                        <a16:creationId xmlns:a16="http://schemas.microsoft.com/office/drawing/2014/main" id="{7636564C-0617-D6DB-D2F6-B255448721F9}"/>
                      </a:ext>
                    </a:extLst>
                  </xdr:cNvPr>
                  <xdr:cNvSpPr/>
                </xdr:nvSpPr>
                <xdr:spPr>
                  <a:xfrm>
                    <a:off x="9407274" y="1501083"/>
                    <a:ext cx="975898" cy="28746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Dibuat Oleh,</a:t>
                    </a:r>
                  </a:p>
                </xdr:txBody>
              </xdr:sp>
              <xdr:sp macro="" textlink="">
                <xdr:nvSpPr>
                  <xdr:cNvPr id="12" name="Rectangle 11">
                    <a:extLst>
                      <a:ext uri="{FF2B5EF4-FFF2-40B4-BE49-F238E27FC236}">
                        <a16:creationId xmlns:a16="http://schemas.microsoft.com/office/drawing/2014/main" id="{6F1011CD-2617-3326-AFFA-2CD582F0BA53}"/>
                      </a:ext>
                    </a:extLst>
                  </xdr:cNvPr>
                  <xdr:cNvSpPr/>
                </xdr:nvSpPr>
                <xdr:spPr>
                  <a:xfrm>
                    <a:off x="11762956" y="1502127"/>
                    <a:ext cx="1430669" cy="28746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Diverifikasi Oleh,</a:t>
                    </a:r>
                  </a:p>
                </xdr:txBody>
              </xdr:sp>
              <xdr:sp macro="" textlink="">
                <xdr:nvSpPr>
                  <xdr:cNvPr id="13" name="Rectangle 12">
                    <a:extLst>
                      <a:ext uri="{FF2B5EF4-FFF2-40B4-BE49-F238E27FC236}">
                        <a16:creationId xmlns:a16="http://schemas.microsoft.com/office/drawing/2014/main" id="{8A99CA47-AA87-A8DB-48D8-4124E9396373}"/>
                      </a:ext>
                    </a:extLst>
                  </xdr:cNvPr>
                  <xdr:cNvSpPr/>
                </xdr:nvSpPr>
                <xdr:spPr>
                  <a:xfrm>
                    <a:off x="14351172" y="1496904"/>
                    <a:ext cx="1753011" cy="24916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r>
                      <a:rPr lang="en-ID" sz="1100">
                        <a:solidFill>
                          <a:sysClr val="windowText" lastClr="00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Disetujui Oleh,</a:t>
                    </a:r>
                    <a:endParaRPr lang="en-ID">
                      <a:solidFill>
                        <a:sysClr val="windowText" lastClr="000000"/>
                      </a:solidFill>
                      <a:effectLst/>
                    </a:endParaRPr>
                  </a:p>
                </xdr:txBody>
              </xdr:sp>
              <xdr:sp macro="" textlink="">
                <xdr:nvSpPr>
                  <xdr:cNvPr id="14" name="Rectangle 13">
                    <a:extLst>
                      <a:ext uri="{FF2B5EF4-FFF2-40B4-BE49-F238E27FC236}">
                        <a16:creationId xmlns:a16="http://schemas.microsoft.com/office/drawing/2014/main" id="{398C4427-E096-C600-BE6A-A2A511536D63}"/>
                      </a:ext>
                    </a:extLst>
                  </xdr:cNvPr>
                  <xdr:cNvSpPr/>
                </xdr:nvSpPr>
                <xdr:spPr>
                  <a:xfrm>
                    <a:off x="11185730" y="2456686"/>
                    <a:ext cx="2575780" cy="181721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15" name="Rectangle 14">
                    <a:extLst>
                      <a:ext uri="{FF2B5EF4-FFF2-40B4-BE49-F238E27FC236}">
                        <a16:creationId xmlns:a16="http://schemas.microsoft.com/office/drawing/2014/main" id="{539E023C-045B-484C-29C0-F81CCAB978D8}"/>
                      </a:ext>
                    </a:extLst>
                  </xdr:cNvPr>
                  <xdr:cNvSpPr/>
                </xdr:nvSpPr>
                <xdr:spPr>
                  <a:xfrm>
                    <a:off x="13761509" y="2456686"/>
                    <a:ext cx="2566776" cy="181721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16" name="Rectangle 15">
                    <a:extLst>
                      <a:ext uri="{FF2B5EF4-FFF2-40B4-BE49-F238E27FC236}">
                        <a16:creationId xmlns:a16="http://schemas.microsoft.com/office/drawing/2014/main" id="{9B13FC45-FEB5-D000-177D-9168EEA66EC3}"/>
                      </a:ext>
                    </a:extLst>
                  </xdr:cNvPr>
                  <xdr:cNvSpPr/>
                </xdr:nvSpPr>
                <xdr:spPr>
                  <a:xfrm>
                    <a:off x="16328287" y="2456686"/>
                    <a:ext cx="2549355" cy="181721"/>
                  </a:xfrm>
                  <a:prstGeom prst="rect">
                    <a:avLst/>
                  </a:prstGeom>
                  <a:noFill/>
                  <a:ln w="9525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D" sz="1100"/>
                  </a:p>
                </xdr:txBody>
              </xdr:sp>
              <xdr:sp macro="" textlink="">
                <xdr:nvSpPr>
                  <xdr:cNvPr id="17" name="Rectangle 16">
                    <a:extLst>
                      <a:ext uri="{FF2B5EF4-FFF2-40B4-BE49-F238E27FC236}">
                        <a16:creationId xmlns:a16="http://schemas.microsoft.com/office/drawing/2014/main" id="{11296174-607F-1AC4-1C07-E130D883DDD4}"/>
                      </a:ext>
                    </a:extLst>
                  </xdr:cNvPr>
                  <xdr:cNvSpPr/>
                </xdr:nvSpPr>
                <xdr:spPr>
                  <a:xfrm>
                    <a:off x="9041394" y="2252511"/>
                    <a:ext cx="1739969" cy="21491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M. Yusriani</a:t>
                    </a:r>
                  </a:p>
                </xdr:txBody>
              </xdr:sp>
              <xdr:sp macro="" textlink="">
                <xdr:nvSpPr>
                  <xdr:cNvPr id="19" name="Rectangle 18">
                    <a:extLst>
                      <a:ext uri="{FF2B5EF4-FFF2-40B4-BE49-F238E27FC236}">
                        <a16:creationId xmlns:a16="http://schemas.microsoft.com/office/drawing/2014/main" id="{F6E803B8-DA5E-BDA7-1610-55503E957C4F}"/>
                      </a:ext>
                    </a:extLst>
                  </xdr:cNvPr>
                  <xdr:cNvSpPr/>
                </xdr:nvSpPr>
                <xdr:spPr>
                  <a:xfrm>
                    <a:off x="13764461" y="2243675"/>
                    <a:ext cx="2535532" cy="23659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Bambang</a:t>
                    </a:r>
                    <a:r>
                      <a:rPr lang="en-ID" sz="1100" baseline="0">
                        <a:solidFill>
                          <a:sysClr val="windowText" lastClr="000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Octaryono</a:t>
                    </a:r>
                    <a:endParaRPr lang="en-ID">
                      <a:solidFill>
                        <a:sysClr val="windowText" lastClr="000000"/>
                      </a:solidFill>
                      <a:effectLst/>
                    </a:endParaRPr>
                  </a:p>
                </xdr:txBody>
              </xdr:sp>
              <xdr:sp macro="" textlink="">
                <xdr:nvSpPr>
                  <xdr:cNvPr id="20" name="Rectangle 19">
                    <a:extLst>
                      <a:ext uri="{FF2B5EF4-FFF2-40B4-BE49-F238E27FC236}">
                        <a16:creationId xmlns:a16="http://schemas.microsoft.com/office/drawing/2014/main" id="{3BBD76A2-EF8D-C1FB-A411-45E71F033C75}"/>
                      </a:ext>
                    </a:extLst>
                  </xdr:cNvPr>
                  <xdr:cNvSpPr/>
                </xdr:nvSpPr>
                <xdr:spPr>
                  <a:xfrm>
                    <a:off x="16555531" y="2260082"/>
                    <a:ext cx="2191567" cy="25784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Cecep H. Setiadi</a:t>
                    </a:r>
                  </a:p>
                </xdr:txBody>
              </xdr:sp>
              <xdr:sp macro="" textlink="">
                <xdr:nvSpPr>
                  <xdr:cNvPr id="21" name="Rectangle 20">
                    <a:extLst>
                      <a:ext uri="{FF2B5EF4-FFF2-40B4-BE49-F238E27FC236}">
                        <a16:creationId xmlns:a16="http://schemas.microsoft.com/office/drawing/2014/main" id="{46126565-DED3-8243-C804-590D9538CB48}"/>
                      </a:ext>
                    </a:extLst>
                  </xdr:cNvPr>
                  <xdr:cNvSpPr/>
                </xdr:nvSpPr>
                <xdr:spPr>
                  <a:xfrm>
                    <a:off x="9238865" y="1666355"/>
                    <a:ext cx="1312716" cy="28981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endParaRPr lang="en-ID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2" name="Rectangle 21">
                    <a:extLst>
                      <a:ext uri="{FF2B5EF4-FFF2-40B4-BE49-F238E27FC236}">
                        <a16:creationId xmlns:a16="http://schemas.microsoft.com/office/drawing/2014/main" id="{E3199677-58DC-0DF3-130C-F593EDA74987}"/>
                      </a:ext>
                    </a:extLst>
                  </xdr:cNvPr>
                  <xdr:cNvSpPr/>
                </xdr:nvSpPr>
                <xdr:spPr>
                  <a:xfrm>
                    <a:off x="11544323" y="1691673"/>
                    <a:ext cx="1936021" cy="29912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Finance</a:t>
                    </a:r>
                    <a:r>
                      <a:rPr lang="en-ID" sz="1100" baseline="0">
                        <a:solidFill>
                          <a:sysClr val="windowText" lastClr="000000"/>
                        </a:solidFill>
                      </a:rPr>
                      <a:t> Site</a:t>
                    </a:r>
                    <a:endParaRPr lang="en-ID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3" name="Rectangle 22">
                    <a:extLst>
                      <a:ext uri="{FF2B5EF4-FFF2-40B4-BE49-F238E27FC236}">
                        <a16:creationId xmlns:a16="http://schemas.microsoft.com/office/drawing/2014/main" id="{97B11845-13A2-3487-8C66-4DAC78EFCBE4}"/>
                      </a:ext>
                    </a:extLst>
                  </xdr:cNvPr>
                  <xdr:cNvSpPr/>
                </xdr:nvSpPr>
                <xdr:spPr>
                  <a:xfrm>
                    <a:off x="14273120" y="1666355"/>
                    <a:ext cx="1540066" cy="28981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 baseline="0">
                        <a:solidFill>
                          <a:sysClr val="windowText" lastClr="000000"/>
                        </a:solidFill>
                      </a:rPr>
                      <a:t>Pimpinan Site</a:t>
                    </a:r>
                    <a:endParaRPr lang="en-ID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4" name="Rectangle 23">
                    <a:extLst>
                      <a:ext uri="{FF2B5EF4-FFF2-40B4-BE49-F238E27FC236}">
                        <a16:creationId xmlns:a16="http://schemas.microsoft.com/office/drawing/2014/main" id="{EA7B00B7-AA65-BEB5-7154-638A0996E269}"/>
                      </a:ext>
                    </a:extLst>
                  </xdr:cNvPr>
                  <xdr:cNvSpPr/>
                </xdr:nvSpPr>
                <xdr:spPr>
                  <a:xfrm>
                    <a:off x="16649304" y="1683234"/>
                    <a:ext cx="1935127" cy="316007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ctr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Eng</a:t>
                    </a:r>
                    <a:r>
                      <a:rPr lang="en-ID" sz="1100" baseline="0">
                        <a:solidFill>
                          <a:sysClr val="windowText" lastClr="000000"/>
                        </a:solidFill>
                      </a:rPr>
                      <a:t> &amp; Opr. Div Head</a:t>
                    </a:r>
                    <a:endParaRPr lang="en-ID" sz="1100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26" name="Rectangle 25">
                    <a:extLst>
                      <a:ext uri="{FF2B5EF4-FFF2-40B4-BE49-F238E27FC236}">
                        <a16:creationId xmlns:a16="http://schemas.microsoft.com/office/drawing/2014/main" id="{2D7E6681-BBC9-73C1-E45C-3C7A7399814B}"/>
                      </a:ext>
                    </a:extLst>
                  </xdr:cNvPr>
                  <xdr:cNvSpPr/>
                </xdr:nvSpPr>
                <xdr:spPr>
                  <a:xfrm>
                    <a:off x="11132591" y="2412561"/>
                    <a:ext cx="1312716" cy="28746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Tanggal :</a:t>
                    </a:r>
                  </a:p>
                </xdr:txBody>
              </xdr:sp>
              <xdr:sp macro="" textlink="">
                <xdr:nvSpPr>
                  <xdr:cNvPr id="27" name="Rectangle 26">
                    <a:extLst>
                      <a:ext uri="{FF2B5EF4-FFF2-40B4-BE49-F238E27FC236}">
                        <a16:creationId xmlns:a16="http://schemas.microsoft.com/office/drawing/2014/main" id="{219FEF1B-4E2A-359F-9052-E3273F595BA5}"/>
                      </a:ext>
                    </a:extLst>
                  </xdr:cNvPr>
                  <xdr:cNvSpPr/>
                </xdr:nvSpPr>
                <xdr:spPr>
                  <a:xfrm>
                    <a:off x="13699950" y="2420133"/>
                    <a:ext cx="2201640" cy="28746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Tanggal : </a:t>
                    </a:r>
                  </a:p>
                </xdr:txBody>
              </xdr:sp>
              <xdr:sp macro="" textlink="">
                <xdr:nvSpPr>
                  <xdr:cNvPr id="28" name="Rectangle 27">
                    <a:extLst>
                      <a:ext uri="{FF2B5EF4-FFF2-40B4-BE49-F238E27FC236}">
                        <a16:creationId xmlns:a16="http://schemas.microsoft.com/office/drawing/2014/main" id="{F083B597-653D-4C59-B7C9-F8CB483F9482}"/>
                      </a:ext>
                    </a:extLst>
                  </xdr:cNvPr>
                  <xdr:cNvSpPr/>
                </xdr:nvSpPr>
                <xdr:spPr>
                  <a:xfrm>
                    <a:off x="16249597" y="2412561"/>
                    <a:ext cx="1312716" cy="28746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r>
                      <a:rPr lang="en-ID" sz="1100">
                        <a:solidFill>
                          <a:sysClr val="windowText" lastClr="000000"/>
                        </a:solidFill>
                      </a:rPr>
                      <a:t>Tanggal :</a:t>
                    </a:r>
                  </a:p>
                </xdr:txBody>
              </xdr:sp>
            </xdr:grpSp>
            <xdr:sp macro="" textlink="">
              <xdr:nvSpPr>
                <xdr:cNvPr id="36" name="Rectangle 35">
                  <a:extLst>
                    <a:ext uri="{FF2B5EF4-FFF2-40B4-BE49-F238E27FC236}">
                      <a16:creationId xmlns:a16="http://schemas.microsoft.com/office/drawing/2014/main" id="{71ED4DC6-652A-41FA-A6F4-111D2B42E097}"/>
                    </a:ext>
                  </a:extLst>
                </xdr:cNvPr>
                <xdr:cNvSpPr/>
              </xdr:nvSpPr>
              <xdr:spPr>
                <a:xfrm>
                  <a:off x="9779000" y="1948542"/>
                  <a:ext cx="1750785" cy="2921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n-ID" sz="1100">
                      <a:solidFill>
                        <a:sysClr val="windowText" lastClr="000000"/>
                      </a:solidFill>
                    </a:rPr>
                    <a:t>Disetujui Oleh,</a:t>
                  </a:r>
                </a:p>
              </xdr:txBody>
            </xdr:sp>
          </xdr:grpSp>
        </xdr:grpSp>
        <xdr:cxnSp macro="">
          <xdr:nvCxnSpPr>
            <xdr:cNvPr id="58" name="Straight Connector 57">
              <a:extLst>
                <a:ext uri="{FF2B5EF4-FFF2-40B4-BE49-F238E27FC236}">
                  <a16:creationId xmlns:a16="http://schemas.microsoft.com/office/drawing/2014/main" id="{6128AF2A-2180-917B-31CB-6DB65CBA14E9}"/>
                </a:ext>
              </a:extLst>
            </xdr:cNvPr>
            <xdr:cNvCxnSpPr/>
          </xdr:nvCxnSpPr>
          <xdr:spPr>
            <a:xfrm flipH="1">
              <a:off x="12054536" y="1937630"/>
              <a:ext cx="7017" cy="901865"/>
            </a:xfrm>
            <a:prstGeom prst="line">
              <a:avLst/>
            </a:prstGeom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037" name="Rectangle 1036">
            <a:extLst>
              <a:ext uri="{FF2B5EF4-FFF2-40B4-BE49-F238E27FC236}">
                <a16:creationId xmlns:a16="http://schemas.microsoft.com/office/drawing/2014/main" id="{9D03C463-6770-4242-BF78-D5B83793EFC1}"/>
              </a:ext>
            </a:extLst>
          </xdr:cNvPr>
          <xdr:cNvSpPr/>
        </xdr:nvSpPr>
        <xdr:spPr>
          <a:xfrm>
            <a:off x="9524999" y="2149927"/>
            <a:ext cx="1345378" cy="3215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050">
                <a:solidFill>
                  <a:sysClr val="windowText" lastClr="000000"/>
                </a:solidFill>
              </a:rPr>
              <a:t>HCA Sect. Head</a:t>
            </a:r>
          </a:p>
        </xdr:txBody>
      </xdr:sp>
    </xdr:grpSp>
    <xdr:clientData/>
  </xdr:twoCellAnchor>
  <xdr:twoCellAnchor>
    <xdr:from>
      <xdr:col>4</xdr:col>
      <xdr:colOff>1823357</xdr:colOff>
      <xdr:row>12</xdr:row>
      <xdr:rowOff>326572</xdr:rowOff>
    </xdr:from>
    <xdr:to>
      <xdr:col>5</xdr:col>
      <xdr:colOff>1308419</xdr:colOff>
      <xdr:row>14</xdr:row>
      <xdr:rowOff>3246</xdr:rowOff>
    </xdr:to>
    <xdr:sp macro="" textlink="">
      <xdr:nvSpPr>
        <xdr:cNvPr id="1047" name="Rectangle 1046">
          <a:extLst>
            <a:ext uri="{FF2B5EF4-FFF2-40B4-BE49-F238E27FC236}">
              <a16:creationId xmlns:a16="http://schemas.microsoft.com/office/drawing/2014/main" id="{1847D8F4-D788-4806-865A-D92135B165CA}"/>
            </a:ext>
          </a:extLst>
        </xdr:cNvPr>
        <xdr:cNvSpPr/>
      </xdr:nvSpPr>
      <xdr:spPr>
        <a:xfrm>
          <a:off x="6350000" y="2549072"/>
          <a:ext cx="1761990" cy="2844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Azmi</a:t>
          </a:r>
          <a:r>
            <a:rPr lang="en-ID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Rahmadi &amp; M. Yusriani</a:t>
          </a:r>
          <a:endParaRPr lang="en-ID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78106</xdr:colOff>
      <xdr:row>0</xdr:row>
      <xdr:rowOff>157564</xdr:rowOff>
    </xdr:from>
    <xdr:to>
      <xdr:col>3</xdr:col>
      <xdr:colOff>426720</xdr:colOff>
      <xdr:row>4</xdr:row>
      <xdr:rowOff>160136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A8C1C0-AFF0-4AEA-8168-CC1FAC6F5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6" y="157564"/>
          <a:ext cx="706754" cy="703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78106</xdr:colOff>
      <xdr:row>0</xdr:row>
      <xdr:rowOff>157564</xdr:rowOff>
    </xdr:from>
    <xdr:to>
      <xdr:col>3</xdr:col>
      <xdr:colOff>426720</xdr:colOff>
      <xdr:row>4</xdr:row>
      <xdr:rowOff>160136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6111A9-ED9D-4728-8CB8-FB8DB4022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6" y="157564"/>
          <a:ext cx="706754" cy="703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78106</xdr:colOff>
      <xdr:row>0</xdr:row>
      <xdr:rowOff>157564</xdr:rowOff>
    </xdr:from>
    <xdr:to>
      <xdr:col>3</xdr:col>
      <xdr:colOff>426720</xdr:colOff>
      <xdr:row>4</xdr:row>
      <xdr:rowOff>160136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E51409-0490-4A14-95C9-7E6C87CBC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6" y="157564"/>
          <a:ext cx="706754" cy="703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78106</xdr:colOff>
      <xdr:row>0</xdr:row>
      <xdr:rowOff>157564</xdr:rowOff>
    </xdr:from>
    <xdr:to>
      <xdr:col>3</xdr:col>
      <xdr:colOff>426720</xdr:colOff>
      <xdr:row>4</xdr:row>
      <xdr:rowOff>160136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5A735C-2023-40F2-A526-9A152D026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6" y="157564"/>
          <a:ext cx="706754" cy="703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78106</xdr:colOff>
      <xdr:row>0</xdr:row>
      <xdr:rowOff>157564</xdr:rowOff>
    </xdr:from>
    <xdr:to>
      <xdr:col>3</xdr:col>
      <xdr:colOff>426720</xdr:colOff>
      <xdr:row>4</xdr:row>
      <xdr:rowOff>160136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088CD-1D2D-4AFC-9C58-0887725B9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6" y="157564"/>
          <a:ext cx="706754" cy="7036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78106</xdr:colOff>
      <xdr:row>0</xdr:row>
      <xdr:rowOff>157564</xdr:rowOff>
    </xdr:from>
    <xdr:to>
      <xdr:col>3</xdr:col>
      <xdr:colOff>426720</xdr:colOff>
      <xdr:row>4</xdr:row>
      <xdr:rowOff>160136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668D86-39F9-4047-AE1C-90A3B9DC8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606" y="157564"/>
          <a:ext cx="716914" cy="66297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78106</xdr:colOff>
      <xdr:row>0</xdr:row>
      <xdr:rowOff>157564</xdr:rowOff>
    </xdr:from>
    <xdr:to>
      <xdr:col>3</xdr:col>
      <xdr:colOff>426720</xdr:colOff>
      <xdr:row>4</xdr:row>
      <xdr:rowOff>160136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E5F94-29ED-418C-9CF2-5C561E785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606" y="157564"/>
          <a:ext cx="716914" cy="6629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78106</xdr:colOff>
      <xdr:row>0</xdr:row>
      <xdr:rowOff>157564</xdr:rowOff>
    </xdr:from>
    <xdr:to>
      <xdr:col>3</xdr:col>
      <xdr:colOff>426720</xdr:colOff>
      <xdr:row>4</xdr:row>
      <xdr:rowOff>160136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F3ABEB-B5FB-4367-B80A-FE95261E9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6" y="157564"/>
          <a:ext cx="706754" cy="7036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78106</xdr:colOff>
      <xdr:row>0</xdr:row>
      <xdr:rowOff>157564</xdr:rowOff>
    </xdr:from>
    <xdr:to>
      <xdr:col>3</xdr:col>
      <xdr:colOff>426720</xdr:colOff>
      <xdr:row>4</xdr:row>
      <xdr:rowOff>160136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38AE4B-5CF8-4E04-9F5E-85CE5CCB6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6" y="157564"/>
          <a:ext cx="706754" cy="703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ile_1739690421087_1203419.xlsm" TargetMode="External"/><Relationship Id="rId1" Type="http://schemas.openxmlformats.org/officeDocument/2006/relationships/externalLinkPath" Target="file:///C:\Users\user\Downloads\file_1739690421087_12034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Bantu"/>
      <sheetName val="Penjualan"/>
      <sheetName val="Barang Masuk"/>
      <sheetName val="Stoke"/>
      <sheetName val="Pivot Table"/>
      <sheetName val="Lap. Stoke"/>
      <sheetName val="Lap, Penjualan"/>
    </sheetNames>
    <sheetDataSet>
      <sheetData sheetId="0"/>
      <sheetData sheetId="1">
        <row r="16">
          <cell r="D16">
            <v>2020</v>
          </cell>
        </row>
        <row r="17">
          <cell r="D17">
            <v>2021</v>
          </cell>
        </row>
        <row r="18">
          <cell r="D18">
            <v>2022</v>
          </cell>
        </row>
        <row r="19">
          <cell r="D19">
            <v>2023</v>
          </cell>
        </row>
      </sheetData>
      <sheetData sheetId="2"/>
      <sheetData sheetId="3"/>
      <sheetData sheetId="4"/>
      <sheetData sheetId="5">
        <row r="6">
          <cell r="B6">
            <v>2022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A26A-8118-4C24-8D0E-9B499050393E}">
  <dimension ref="B3:C28"/>
  <sheetViews>
    <sheetView workbookViewId="0">
      <selection activeCell="E8" sqref="E8"/>
    </sheetView>
  </sheetViews>
  <sheetFormatPr defaultRowHeight="14.5"/>
  <cols>
    <col min="2" max="2" width="19.90625" bestFit="1" customWidth="1"/>
    <col min="3" max="3" width="38.6328125" bestFit="1" customWidth="1"/>
  </cols>
  <sheetData>
    <row r="3" spans="2:3">
      <c r="B3" s="126" t="s">
        <v>138</v>
      </c>
      <c r="C3" s="126" t="s">
        <v>139</v>
      </c>
    </row>
    <row r="4" spans="2:3">
      <c r="B4" t="s">
        <v>172</v>
      </c>
      <c r="C4" t="s">
        <v>173</v>
      </c>
    </row>
    <row r="5" spans="2:3">
      <c r="B5" t="s">
        <v>170</v>
      </c>
      <c r="C5" t="s">
        <v>171</v>
      </c>
    </row>
    <row r="6" spans="2:3">
      <c r="B6" t="s">
        <v>168</v>
      </c>
      <c r="C6" t="s">
        <v>169</v>
      </c>
    </row>
    <row r="7" spans="2:3">
      <c r="B7" t="s">
        <v>156</v>
      </c>
      <c r="C7" t="s">
        <v>157</v>
      </c>
    </row>
    <row r="8" spans="2:3">
      <c r="B8" t="s">
        <v>154</v>
      </c>
      <c r="C8" t="s">
        <v>155</v>
      </c>
    </row>
    <row r="9" spans="2:3">
      <c r="B9" t="s">
        <v>152</v>
      </c>
      <c r="C9" t="s">
        <v>153</v>
      </c>
    </row>
    <row r="10" spans="2:3">
      <c r="B10" t="s">
        <v>166</v>
      </c>
      <c r="C10" t="s">
        <v>167</v>
      </c>
    </row>
    <row r="11" spans="2:3">
      <c r="B11" t="s">
        <v>164</v>
      </c>
      <c r="C11" t="s">
        <v>165</v>
      </c>
    </row>
    <row r="12" spans="2:3">
      <c r="B12" t="s">
        <v>158</v>
      </c>
      <c r="C12" t="s">
        <v>159</v>
      </c>
    </row>
    <row r="13" spans="2:3">
      <c r="B13" t="s">
        <v>160</v>
      </c>
      <c r="C13" t="s">
        <v>161</v>
      </c>
    </row>
    <row r="14" spans="2:3">
      <c r="B14" t="s">
        <v>162</v>
      </c>
      <c r="C14" t="s">
        <v>163</v>
      </c>
    </row>
    <row r="15" spans="2:3">
      <c r="B15" t="s">
        <v>150</v>
      </c>
      <c r="C15" t="s">
        <v>151</v>
      </c>
    </row>
    <row r="16" spans="2:3">
      <c r="B16" t="s">
        <v>148</v>
      </c>
      <c r="C16" t="s">
        <v>149</v>
      </c>
    </row>
    <row r="17" spans="2:3">
      <c r="B17" t="s">
        <v>146</v>
      </c>
      <c r="C17" t="s">
        <v>147</v>
      </c>
    </row>
    <row r="18" spans="2:3">
      <c r="B18" t="s">
        <v>188</v>
      </c>
      <c r="C18" t="s">
        <v>189</v>
      </c>
    </row>
    <row r="19" spans="2:3">
      <c r="B19" t="s">
        <v>186</v>
      </c>
      <c r="C19" t="s">
        <v>187</v>
      </c>
    </row>
    <row r="20" spans="2:3">
      <c r="B20" t="s">
        <v>180</v>
      </c>
      <c r="C20" t="s">
        <v>181</v>
      </c>
    </row>
    <row r="21" spans="2:3">
      <c r="B21" t="s">
        <v>182</v>
      </c>
      <c r="C21" t="s">
        <v>183</v>
      </c>
    </row>
    <row r="22" spans="2:3">
      <c r="B22" t="s">
        <v>184</v>
      </c>
      <c r="C22" t="s">
        <v>185</v>
      </c>
    </row>
    <row r="23" spans="2:3">
      <c r="B23" t="s">
        <v>144</v>
      </c>
      <c r="C23" t="s">
        <v>145</v>
      </c>
    </row>
    <row r="24" spans="2:3">
      <c r="B24" t="s">
        <v>142</v>
      </c>
      <c r="C24" t="s">
        <v>143</v>
      </c>
    </row>
    <row r="25" spans="2:3">
      <c r="B25" t="s">
        <v>140</v>
      </c>
      <c r="C25" t="s">
        <v>141</v>
      </c>
    </row>
    <row r="26" spans="2:3">
      <c r="B26" t="s">
        <v>178</v>
      </c>
      <c r="C26" t="s">
        <v>179</v>
      </c>
    </row>
    <row r="27" spans="2:3">
      <c r="B27" t="s">
        <v>176</v>
      </c>
      <c r="C27" t="s">
        <v>177</v>
      </c>
    </row>
    <row r="28" spans="2:3">
      <c r="B28" t="s">
        <v>174</v>
      </c>
      <c r="C28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64A4-056D-45BA-8DD9-C929F462CEB5}">
  <sheetPr codeName="Sheet15">
    <pageSetUpPr fitToPage="1"/>
  </sheetPr>
  <dimension ref="A1:AB34"/>
  <sheetViews>
    <sheetView showGridLines="0" tabSelected="1" zoomScale="70" zoomScaleNormal="70" workbookViewId="0">
      <selection activeCell="M21" sqref="M21"/>
    </sheetView>
  </sheetViews>
  <sheetFormatPr defaultColWidth="0" defaultRowHeight="14.5"/>
  <cols>
    <col min="1" max="1" width="8.81640625" customWidth="1"/>
    <col min="2" max="2" width="4.54296875" customWidth="1"/>
    <col min="3" max="3" width="17.54296875" customWidth="1"/>
    <col min="4" max="4" width="33.90625" customWidth="1"/>
    <col min="5" max="5" width="32.54296875" customWidth="1"/>
    <col min="6" max="9" width="18.81640625" customWidth="1"/>
    <col min="10" max="10" width="18.90625" customWidth="1"/>
    <col min="11" max="11" width="1.26953125" customWidth="1"/>
    <col min="12" max="13" width="8.81640625" customWidth="1"/>
    <col min="14" max="14" width="24.36328125" customWidth="1"/>
    <col min="15" max="23" width="8.81640625" customWidth="1"/>
    <col min="24" max="28" width="0" hidden="1" customWidth="1"/>
    <col min="29" max="16384" width="8.81640625" hidden="1"/>
  </cols>
  <sheetData>
    <row r="1" spans="2:16" ht="15" thickBot="1"/>
    <row r="2" spans="2:16" ht="14.5" customHeight="1">
      <c r="B2" s="1"/>
      <c r="C2" s="107"/>
      <c r="D2" s="155" t="s">
        <v>74</v>
      </c>
      <c r="E2" s="156"/>
      <c r="F2" s="156"/>
      <c r="G2" s="156"/>
      <c r="H2" s="156"/>
      <c r="I2" s="156"/>
      <c r="J2" s="108"/>
      <c r="K2" s="2"/>
    </row>
    <row r="3" spans="2:16" ht="14.5" customHeight="1">
      <c r="B3" s="3"/>
      <c r="C3" s="106"/>
      <c r="D3" s="157"/>
      <c r="E3" s="158"/>
      <c r="F3" s="158"/>
      <c r="G3" s="158"/>
      <c r="H3" s="158"/>
      <c r="I3" s="158"/>
      <c r="J3" s="109"/>
      <c r="K3" s="2"/>
    </row>
    <row r="4" spans="2:16" ht="14.5" customHeight="1">
      <c r="B4" s="3"/>
      <c r="C4" s="106"/>
      <c r="D4" s="157"/>
      <c r="E4" s="158"/>
      <c r="F4" s="158"/>
      <c r="G4" s="158"/>
      <c r="H4" s="158"/>
      <c r="I4" s="158"/>
      <c r="J4" s="109"/>
      <c r="K4" s="2"/>
    </row>
    <row r="5" spans="2:16" ht="15" customHeight="1" thickBot="1">
      <c r="B5" s="153" t="s">
        <v>0</v>
      </c>
      <c r="C5" s="154"/>
      <c r="D5" s="159"/>
      <c r="E5" s="160"/>
      <c r="F5" s="160"/>
      <c r="G5" s="160"/>
      <c r="H5" s="160"/>
      <c r="I5" s="160"/>
      <c r="J5" s="110"/>
      <c r="K5" s="2"/>
    </row>
    <row r="6" spans="2:16" ht="15" thickBot="1">
      <c r="B6" s="4"/>
      <c r="C6" s="4"/>
      <c r="D6" s="4"/>
      <c r="E6" s="4"/>
      <c r="F6" s="4"/>
      <c r="G6" s="4"/>
      <c r="H6" s="4"/>
      <c r="I6" s="4"/>
      <c r="J6" s="4"/>
      <c r="K6" s="4"/>
    </row>
    <row r="7" spans="2:16">
      <c r="B7" s="161" t="s">
        <v>1</v>
      </c>
      <c r="C7" s="162"/>
      <c r="D7" s="163"/>
      <c r="E7" s="171" t="s">
        <v>72</v>
      </c>
      <c r="F7" s="172"/>
      <c r="G7" s="167" t="s">
        <v>2</v>
      </c>
      <c r="H7" s="168"/>
      <c r="I7" s="168"/>
      <c r="J7" s="169" t="s">
        <v>114</v>
      </c>
      <c r="K7" s="5"/>
    </row>
    <row r="8" spans="2:16" ht="15" thickBot="1">
      <c r="B8" s="164"/>
      <c r="C8" s="165"/>
      <c r="D8" s="166"/>
      <c r="E8" s="173"/>
      <c r="F8" s="174"/>
      <c r="G8" s="211" t="s">
        <v>192</v>
      </c>
      <c r="H8" s="212"/>
      <c r="I8" s="213"/>
      <c r="J8" s="170"/>
      <c r="K8" s="6"/>
    </row>
    <row r="9" spans="2:16" ht="15" thickBot="1">
      <c r="B9" s="2"/>
      <c r="C9" s="2"/>
      <c r="D9" s="2"/>
      <c r="E9" s="2"/>
      <c r="F9" s="2"/>
      <c r="G9" s="2"/>
      <c r="H9" s="2"/>
      <c r="I9" s="2"/>
      <c r="J9" s="109"/>
      <c r="K9" s="2"/>
      <c r="N9" s="125" t="s">
        <v>193</v>
      </c>
      <c r="O9" s="125"/>
      <c r="P9" s="125"/>
    </row>
    <row r="10" spans="2:16">
      <c r="B10" s="96" t="s">
        <v>3</v>
      </c>
      <c r="C10" s="97"/>
      <c r="D10" s="113" t="s">
        <v>4</v>
      </c>
      <c r="E10" s="88"/>
      <c r="F10" s="175"/>
      <c r="G10" s="175"/>
      <c r="H10" s="176"/>
      <c r="I10" s="177"/>
      <c r="J10" s="111"/>
      <c r="K10" s="7"/>
      <c r="N10" s="120" t="s">
        <v>126</v>
      </c>
      <c r="O10" s="152"/>
    </row>
    <row r="11" spans="2:16">
      <c r="B11" s="98" t="s">
        <v>5</v>
      </c>
      <c r="C11" s="99"/>
      <c r="D11" s="114"/>
      <c r="E11" s="7"/>
      <c r="F11" s="148"/>
      <c r="G11" s="148"/>
      <c r="H11" s="148"/>
      <c r="I11" s="148"/>
      <c r="J11" s="89"/>
      <c r="K11" s="7"/>
      <c r="N11" s="124" t="s">
        <v>127</v>
      </c>
      <c r="O11" s="152"/>
    </row>
    <row r="12" spans="2:16">
      <c r="B12" s="100" t="s">
        <v>6</v>
      </c>
      <c r="C12" s="101"/>
      <c r="D12" s="149"/>
      <c r="E12" s="148"/>
      <c r="F12" s="148"/>
      <c r="G12" s="148"/>
      <c r="H12" s="148"/>
      <c r="I12" s="148"/>
      <c r="J12" s="151"/>
      <c r="K12" s="7"/>
      <c r="N12" s="121"/>
    </row>
    <row r="13" spans="2:16" ht="33.5" customHeight="1">
      <c r="B13" s="102"/>
      <c r="C13" s="103"/>
      <c r="D13" s="150"/>
      <c r="E13" s="148"/>
      <c r="F13" s="148"/>
      <c r="G13" s="148"/>
      <c r="H13" s="148"/>
      <c r="I13" s="148"/>
      <c r="J13" s="151"/>
      <c r="K13" s="7"/>
      <c r="N13" s="121"/>
    </row>
    <row r="14" spans="2:16">
      <c r="B14" s="104" t="s">
        <v>73</v>
      </c>
      <c r="C14" s="4"/>
      <c r="D14" s="115"/>
      <c r="E14" s="148"/>
      <c r="F14" s="148"/>
      <c r="G14" s="148"/>
      <c r="H14" s="148"/>
      <c r="I14" s="148"/>
      <c r="J14" s="151"/>
      <c r="K14" s="7"/>
      <c r="N14" s="122" t="s">
        <v>128</v>
      </c>
    </row>
    <row r="15" spans="2:16" ht="15" thickBot="1">
      <c r="B15" s="105"/>
      <c r="C15" s="91"/>
      <c r="D15" s="116"/>
      <c r="E15" s="90"/>
      <c r="F15" s="139"/>
      <c r="G15" s="139"/>
      <c r="H15" s="140"/>
      <c r="I15" s="141"/>
      <c r="J15" s="112"/>
      <c r="K15" s="8"/>
      <c r="N15" s="123" t="s">
        <v>129</v>
      </c>
    </row>
    <row r="16" spans="2:16" ht="15" thickBot="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5">
      <c r="B17" s="142" t="s">
        <v>7</v>
      </c>
      <c r="C17" s="144" t="s">
        <v>190</v>
      </c>
      <c r="D17" s="129" t="s">
        <v>71</v>
      </c>
      <c r="E17" s="129" t="s">
        <v>8</v>
      </c>
      <c r="F17" s="146" t="s">
        <v>9</v>
      </c>
      <c r="G17" s="146" t="s">
        <v>10</v>
      </c>
      <c r="H17" s="146" t="s">
        <v>11</v>
      </c>
      <c r="I17" s="146" t="s">
        <v>12</v>
      </c>
      <c r="J17" s="127" t="s">
        <v>13</v>
      </c>
      <c r="K17" s="9"/>
    </row>
    <row r="18" spans="2:15" ht="15" thickBot="1">
      <c r="B18" s="143"/>
      <c r="C18" s="145"/>
      <c r="D18" s="130"/>
      <c r="E18" s="130"/>
      <c r="F18" s="147"/>
      <c r="G18" s="147"/>
      <c r="H18" s="147"/>
      <c r="I18" s="147"/>
      <c r="J18" s="128"/>
      <c r="K18" s="9"/>
    </row>
    <row r="19" spans="2:15" ht="17.649999999999999" customHeight="1">
      <c r="B19" s="10">
        <v>1</v>
      </c>
      <c r="C19" s="14"/>
      <c r="D19" t="e">
        <f>VLOOKUP(C19,WBS!$B:$C,2,0)</f>
        <v>#N/A</v>
      </c>
      <c r="E19" s="11" t="s">
        <v>14</v>
      </c>
      <c r="F19" s="92">
        <f>ATK!H20</f>
        <v>0</v>
      </c>
      <c r="G19" s="92">
        <f>ATK!H35</f>
        <v>0</v>
      </c>
      <c r="H19" s="92">
        <f>ATK!H50</f>
        <v>0</v>
      </c>
      <c r="I19" s="92">
        <f>ATK!H65</f>
        <v>0</v>
      </c>
      <c r="J19" s="117">
        <f t="shared" ref="J19:J28" si="0">SUM(F19:I19)</f>
        <v>0</v>
      </c>
      <c r="K19" s="12"/>
    </row>
    <row r="20" spans="2:15" ht="17.649999999999999" customHeight="1">
      <c r="B20" s="13">
        <f t="shared" ref="B20:B32" si="1">1+B19</f>
        <v>2</v>
      </c>
      <c r="C20" s="14"/>
      <c r="D20" s="14"/>
      <c r="E20" s="14" t="s">
        <v>15</v>
      </c>
      <c r="F20" s="93">
        <f>BBM!H20</f>
        <v>0</v>
      </c>
      <c r="G20" s="93">
        <f>BBM!H35</f>
        <v>0</v>
      </c>
      <c r="H20" s="93">
        <f>BBM!H50</f>
        <v>0</v>
      </c>
      <c r="I20" s="93">
        <f>BBM!H65</f>
        <v>0</v>
      </c>
      <c r="J20" s="118">
        <f t="shared" si="0"/>
        <v>0</v>
      </c>
      <c r="K20" s="12"/>
    </row>
    <row r="21" spans="2:15" ht="17.649999999999999" customHeight="1">
      <c r="B21" s="13">
        <f t="shared" si="1"/>
        <v>3</v>
      </c>
      <c r="C21" s="14"/>
      <c r="D21" s="14"/>
      <c r="E21" s="14" t="s">
        <v>16</v>
      </c>
      <c r="F21" s="93">
        <f>Catering!H20</f>
        <v>0</v>
      </c>
      <c r="G21" s="93">
        <f>BBM!H36</f>
        <v>0</v>
      </c>
      <c r="H21" s="94">
        <f>Catering!H52</f>
        <v>0</v>
      </c>
      <c r="I21" s="94">
        <f>Catering!H67</f>
        <v>0</v>
      </c>
      <c r="J21" s="118">
        <f t="shared" si="0"/>
        <v>0</v>
      </c>
      <c r="K21" s="12"/>
    </row>
    <row r="22" spans="2:15" ht="17.649999999999999" customHeight="1">
      <c r="B22" s="13">
        <f t="shared" si="1"/>
        <v>4</v>
      </c>
      <c r="C22" s="14"/>
      <c r="D22" s="14"/>
      <c r="E22" s="14" t="s">
        <v>191</v>
      </c>
      <c r="F22" s="94">
        <f>'Perdin &amp; Cuti'!H20</f>
        <v>0</v>
      </c>
      <c r="G22" s="94">
        <f>'Perdin &amp; Cuti'!H35</f>
        <v>0</v>
      </c>
      <c r="H22" s="94">
        <f>'Perdin &amp; Cuti'!H50</f>
        <v>0</v>
      </c>
      <c r="I22" s="94">
        <f>'Perdin &amp; Cuti'!H65</f>
        <v>0</v>
      </c>
      <c r="J22" s="118">
        <f t="shared" si="0"/>
        <v>0</v>
      </c>
      <c r="K22" s="12"/>
      <c r="O22" s="119"/>
    </row>
    <row r="23" spans="2:15" ht="17.649999999999999" customHeight="1">
      <c r="B23" s="13">
        <f t="shared" si="1"/>
        <v>5</v>
      </c>
      <c r="C23" s="14"/>
      <c r="D23" s="14"/>
      <c r="E23" s="15" t="s">
        <v>17</v>
      </c>
      <c r="F23" s="94">
        <f>'Listrik PLN'!H15</f>
        <v>0</v>
      </c>
      <c r="G23" s="93">
        <f>'Listrik PLN'!H25</f>
        <v>0</v>
      </c>
      <c r="H23" s="93">
        <f>'Listrik PLN'!H35</f>
        <v>0</v>
      </c>
      <c r="I23" s="93">
        <f>'Listrik PLN'!H45</f>
        <v>0</v>
      </c>
      <c r="J23" s="118">
        <f t="shared" si="0"/>
        <v>0</v>
      </c>
      <c r="K23" s="12"/>
    </row>
    <row r="24" spans="2:15" ht="17.649999999999999" customHeight="1">
      <c r="B24" s="13">
        <f t="shared" si="1"/>
        <v>6</v>
      </c>
      <c r="C24" s="14"/>
      <c r="D24" s="14"/>
      <c r="E24" s="15" t="s">
        <v>79</v>
      </c>
      <c r="F24" s="94">
        <f>'Air PDAM'!H16</f>
        <v>0</v>
      </c>
      <c r="G24" s="93">
        <f>'Air PDAM'!H26</f>
        <v>0</v>
      </c>
      <c r="H24" s="93">
        <f>'Air PDAM'!H36</f>
        <v>0</v>
      </c>
      <c r="I24" s="93">
        <f>'Air PDAM'!H46</f>
        <v>0</v>
      </c>
      <c r="J24" s="118">
        <f t="shared" ref="J24" si="2">SUM(F24:I24)</f>
        <v>0</v>
      </c>
      <c r="K24" s="12"/>
    </row>
    <row r="25" spans="2:15" ht="17.649999999999999" customHeight="1">
      <c r="B25" s="13">
        <f t="shared" si="1"/>
        <v>7</v>
      </c>
      <c r="C25" s="14"/>
      <c r="D25" s="14"/>
      <c r="E25" s="15" t="s">
        <v>80</v>
      </c>
      <c r="F25" s="94">
        <f>'Telp &amp; Internet'!H17</f>
        <v>0</v>
      </c>
      <c r="G25" s="93">
        <f>'Telp &amp; Internet'!H27</f>
        <v>0</v>
      </c>
      <c r="H25" s="93">
        <f>'Telp &amp; Internet'!H37</f>
        <v>0</v>
      </c>
      <c r="I25" s="93">
        <f>'Telp &amp; Internet'!H47</f>
        <v>0</v>
      </c>
      <c r="J25" s="118">
        <f t="shared" ref="J25" si="3">SUM(F25:I25)</f>
        <v>0</v>
      </c>
      <c r="K25" s="12"/>
    </row>
    <row r="26" spans="2:15" ht="17.649999999999999" customHeight="1">
      <c r="B26" s="13">
        <f t="shared" si="1"/>
        <v>8</v>
      </c>
      <c r="C26" s="14"/>
      <c r="D26" s="14"/>
      <c r="E26" s="14" t="s">
        <v>18</v>
      </c>
      <c r="F26" s="94">
        <f>Pantry!H21</f>
        <v>0</v>
      </c>
      <c r="G26" s="93">
        <f>Pantry!H37</f>
        <v>0</v>
      </c>
      <c r="H26" s="93">
        <f>Pantry!H53</f>
        <v>0</v>
      </c>
      <c r="I26" s="93">
        <f>Pantry!H69</f>
        <v>0</v>
      </c>
      <c r="J26" s="118">
        <f t="shared" si="0"/>
        <v>0</v>
      </c>
      <c r="K26" s="12"/>
    </row>
    <row r="27" spans="2:15" ht="17.649999999999999" customHeight="1">
      <c r="B27" s="13">
        <f t="shared" si="1"/>
        <v>9</v>
      </c>
      <c r="C27" s="16"/>
      <c r="D27" s="16"/>
      <c r="E27" s="17" t="s">
        <v>19</v>
      </c>
      <c r="F27" s="94">
        <f>KHL!H20</f>
        <v>0</v>
      </c>
      <c r="G27" s="95">
        <f>KHL!H35</f>
        <v>0</v>
      </c>
      <c r="H27" s="95">
        <f>KHL!H50</f>
        <v>0</v>
      </c>
      <c r="I27" s="95">
        <f>KHL!H65</f>
        <v>0</v>
      </c>
      <c r="J27" s="118">
        <f t="shared" si="0"/>
        <v>0</v>
      </c>
      <c r="K27" s="12"/>
    </row>
    <row r="28" spans="2:15" ht="17.649999999999999" customHeight="1">
      <c r="B28" s="13">
        <f t="shared" si="1"/>
        <v>10</v>
      </c>
      <c r="C28" s="16"/>
      <c r="D28" s="16"/>
      <c r="E28" s="18" t="s">
        <v>81</v>
      </c>
      <c r="F28" s="94"/>
      <c r="G28" s="95"/>
      <c r="H28" s="95"/>
      <c r="I28" s="95"/>
      <c r="J28" s="118">
        <f t="shared" si="0"/>
        <v>0</v>
      </c>
      <c r="K28" s="12"/>
    </row>
    <row r="29" spans="2:15" ht="17.649999999999999" customHeight="1">
      <c r="B29" s="13">
        <f t="shared" si="1"/>
        <v>11</v>
      </c>
      <c r="C29" s="16"/>
      <c r="D29" s="16"/>
      <c r="E29" s="18"/>
      <c r="F29" s="94"/>
      <c r="G29" s="95"/>
      <c r="H29" s="95"/>
      <c r="I29" s="95"/>
      <c r="J29" s="118">
        <f t="shared" ref="J29" si="4">SUM(F29:I29)</f>
        <v>0</v>
      </c>
      <c r="K29" s="12"/>
    </row>
    <row r="30" spans="2:15" ht="17.649999999999999" customHeight="1">
      <c r="B30" s="13">
        <f t="shared" si="1"/>
        <v>12</v>
      </c>
      <c r="C30" s="16"/>
      <c r="D30" s="16"/>
      <c r="E30" s="18" t="s">
        <v>82</v>
      </c>
      <c r="F30" s="94"/>
      <c r="G30" s="95"/>
      <c r="H30" s="95"/>
      <c r="I30" s="95"/>
      <c r="J30" s="118">
        <f t="shared" ref="J30:J32" si="5">SUM(F30:I30)</f>
        <v>0</v>
      </c>
      <c r="K30" s="12"/>
    </row>
    <row r="31" spans="2:15" ht="17.649999999999999" customHeight="1">
      <c r="B31" s="13">
        <f t="shared" si="1"/>
        <v>13</v>
      </c>
      <c r="C31" s="16"/>
      <c r="D31" s="16"/>
      <c r="E31" s="18" t="s">
        <v>82</v>
      </c>
      <c r="F31" s="94"/>
      <c r="G31" s="95"/>
      <c r="H31" s="95"/>
      <c r="I31" s="95"/>
      <c r="J31" s="118">
        <f t="shared" si="5"/>
        <v>0</v>
      </c>
      <c r="K31" s="12"/>
    </row>
    <row r="32" spans="2:15" ht="17.649999999999999" customHeight="1" thickBot="1">
      <c r="B32" s="13">
        <f t="shared" si="1"/>
        <v>14</v>
      </c>
      <c r="C32" s="16"/>
      <c r="D32" s="16"/>
      <c r="E32" s="18" t="s">
        <v>82</v>
      </c>
      <c r="F32" s="95"/>
      <c r="G32" s="95"/>
      <c r="H32" s="95"/>
      <c r="I32" s="95"/>
      <c r="J32" s="118">
        <f t="shared" si="5"/>
        <v>0</v>
      </c>
      <c r="K32" s="12"/>
    </row>
    <row r="33" spans="2:11" ht="24" customHeight="1">
      <c r="B33" s="133" t="s">
        <v>13</v>
      </c>
      <c r="C33" s="134"/>
      <c r="D33" s="134"/>
      <c r="E33" s="134"/>
      <c r="F33" s="137">
        <f>SUM(F19:F28)</f>
        <v>0</v>
      </c>
      <c r="G33" s="137">
        <f>SUM(G19:G28)</f>
        <v>0</v>
      </c>
      <c r="H33" s="137">
        <f>SUM(H19:H28)</f>
        <v>0</v>
      </c>
      <c r="I33" s="137">
        <f>SUM(I19:I28)</f>
        <v>0</v>
      </c>
      <c r="J33" s="131">
        <f>SUM(J19:J28)</f>
        <v>0</v>
      </c>
      <c r="K33" s="19"/>
    </row>
    <row r="34" spans="2:11" ht="24" customHeight="1" thickBot="1">
      <c r="B34" s="135"/>
      <c r="C34" s="136"/>
      <c r="D34" s="136"/>
      <c r="E34" s="136"/>
      <c r="F34" s="138"/>
      <c r="G34" s="138"/>
      <c r="H34" s="138"/>
      <c r="I34" s="138"/>
      <c r="J34" s="132"/>
      <c r="K34" s="19"/>
    </row>
  </sheetData>
  <mergeCells count="34">
    <mergeCell ref="O10:O11"/>
    <mergeCell ref="B5:C5"/>
    <mergeCell ref="D2:I5"/>
    <mergeCell ref="B7:D8"/>
    <mergeCell ref="G7:I7"/>
    <mergeCell ref="J7:J8"/>
    <mergeCell ref="G8:I8"/>
    <mergeCell ref="E7:F8"/>
    <mergeCell ref="F10:G10"/>
    <mergeCell ref="H10:I10"/>
    <mergeCell ref="F11:G11"/>
    <mergeCell ref="H11:I11"/>
    <mergeCell ref="E12:E14"/>
    <mergeCell ref="D12:D13"/>
    <mergeCell ref="F12:G14"/>
    <mergeCell ref="H12:I14"/>
    <mergeCell ref="J12:J14"/>
    <mergeCell ref="F15:G15"/>
    <mergeCell ref="H15:I15"/>
    <mergeCell ref="B17:B18"/>
    <mergeCell ref="C17:C18"/>
    <mergeCell ref="E17:E18"/>
    <mergeCell ref="F17:F18"/>
    <mergeCell ref="G17:G18"/>
    <mergeCell ref="H17:H18"/>
    <mergeCell ref="I17:I18"/>
    <mergeCell ref="J17:J18"/>
    <mergeCell ref="D17:D18"/>
    <mergeCell ref="J33:J34"/>
    <mergeCell ref="B33:E34"/>
    <mergeCell ref="F33:F34"/>
    <mergeCell ref="G33:G34"/>
    <mergeCell ref="H33:H34"/>
    <mergeCell ref="I33:I34"/>
  </mergeCells>
  <printOptions horizontalCentered="1"/>
  <pageMargins left="0" right="0" top="0" bottom="0" header="0.3" footer="0.3"/>
  <pageSetup scale="74" orientation="landscape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56D9-B1DF-40B0-B6F6-F873247CBB2F}">
  <sheetPr codeName="Sheet4"/>
  <dimension ref="C2:K107"/>
  <sheetViews>
    <sheetView showGridLines="0" zoomScale="85" zoomScaleNormal="85" workbookViewId="0">
      <selection activeCell="N6" sqref="N6"/>
    </sheetView>
  </sheetViews>
  <sheetFormatPr defaultColWidth="9.26953125" defaultRowHeight="13"/>
  <cols>
    <col min="1" max="2" width="7.7265625" style="20" customWidth="1"/>
    <col min="3" max="3" width="5.26953125" style="20" customWidth="1"/>
    <col min="4" max="4" width="41.7265625" style="20" customWidth="1"/>
    <col min="5" max="5" width="11.453125" style="20" bestFit="1" customWidth="1"/>
    <col min="6" max="6" width="8.54296875" style="20" customWidth="1"/>
    <col min="7" max="7" width="20.26953125" style="20" customWidth="1"/>
    <col min="8" max="8" width="16.7265625" style="20" bestFit="1" customWidth="1"/>
    <col min="9" max="9" width="1.453125" style="20" customWidth="1"/>
    <col min="10" max="10" width="9.26953125" style="20"/>
    <col min="11" max="11" width="11.7265625" style="20" bestFit="1" customWidth="1"/>
    <col min="12" max="16384" width="9.26953125" style="20"/>
  </cols>
  <sheetData>
    <row r="2" spans="3:10">
      <c r="C2" s="195" t="s">
        <v>74</v>
      </c>
      <c r="D2" s="196"/>
      <c r="E2" s="196"/>
      <c r="F2" s="196"/>
      <c r="G2" s="196"/>
      <c r="H2" s="196"/>
    </row>
    <row r="3" spans="3:10">
      <c r="C3" s="196"/>
      <c r="D3" s="196"/>
      <c r="E3" s="196"/>
      <c r="F3" s="196"/>
      <c r="G3" s="196"/>
      <c r="H3" s="196"/>
    </row>
    <row r="4" spans="3:10">
      <c r="C4" s="196"/>
      <c r="D4" s="196"/>
      <c r="E4" s="196"/>
      <c r="F4" s="196"/>
      <c r="G4" s="196"/>
      <c r="H4" s="196"/>
    </row>
    <row r="5" spans="3:10">
      <c r="C5" s="197"/>
      <c r="D5" s="197"/>
      <c r="E5" s="197"/>
      <c r="F5" s="197"/>
      <c r="G5" s="197"/>
      <c r="H5" s="197"/>
    </row>
    <row r="6" spans="3:10" ht="13.5" thickBot="1"/>
    <row r="7" spans="3:10" ht="18" customHeight="1" thickBot="1">
      <c r="C7" s="186" t="s">
        <v>75</v>
      </c>
      <c r="D7" s="187"/>
      <c r="E7" s="187"/>
      <c r="F7" s="187"/>
      <c r="G7" s="187"/>
      <c r="H7" s="188"/>
    </row>
    <row r="8" spans="3:10" ht="15" customHeight="1">
      <c r="C8" s="189" t="s">
        <v>20</v>
      </c>
      <c r="D8" s="191" t="s">
        <v>21</v>
      </c>
      <c r="E8" s="191" t="s">
        <v>22</v>
      </c>
      <c r="F8" s="191" t="s">
        <v>23</v>
      </c>
      <c r="G8" s="191" t="s">
        <v>24</v>
      </c>
      <c r="H8" s="193" t="s">
        <v>25</v>
      </c>
    </row>
    <row r="9" spans="3:10" ht="13.9" customHeight="1" thickBot="1">
      <c r="C9" s="190"/>
      <c r="D9" s="192"/>
      <c r="E9" s="192"/>
      <c r="F9" s="192"/>
      <c r="G9" s="192"/>
      <c r="H9" s="194"/>
    </row>
    <row r="10" spans="3:10" ht="14.5">
      <c r="C10" s="21">
        <v>1</v>
      </c>
      <c r="D10" s="22"/>
      <c r="E10" s="23"/>
      <c r="F10" s="23" t="s">
        <v>26</v>
      </c>
      <c r="G10" s="24"/>
      <c r="H10" s="25">
        <f t="shared" ref="H10:H19" si="0">G10*E10</f>
        <v>0</v>
      </c>
      <c r="J10" s="26"/>
    </row>
    <row r="11" spans="3:10" ht="14.5">
      <c r="C11" s="21">
        <f>1+C10</f>
        <v>2</v>
      </c>
      <c r="D11" s="27"/>
      <c r="E11" s="23"/>
      <c r="F11" s="23"/>
      <c r="G11" s="28"/>
      <c r="H11" s="25">
        <f t="shared" si="0"/>
        <v>0</v>
      </c>
      <c r="J11" s="26"/>
    </row>
    <row r="12" spans="3:10" ht="14.5">
      <c r="C12" s="21">
        <f t="shared" ref="C12:C18" si="1">1+C11</f>
        <v>3</v>
      </c>
      <c r="D12" s="27"/>
      <c r="E12" s="23"/>
      <c r="F12" s="23"/>
      <c r="G12" s="28"/>
      <c r="H12" s="25">
        <f t="shared" si="0"/>
        <v>0</v>
      </c>
      <c r="J12" s="26"/>
    </row>
    <row r="13" spans="3:10" ht="14.5">
      <c r="C13" s="21">
        <f t="shared" si="1"/>
        <v>4</v>
      </c>
      <c r="D13" s="27"/>
      <c r="E13" s="23"/>
      <c r="F13" s="68"/>
      <c r="G13" s="28"/>
      <c r="H13" s="25">
        <f>G13*E13</f>
        <v>0</v>
      </c>
      <c r="J13" s="26"/>
    </row>
    <row r="14" spans="3:10" ht="14.5">
      <c r="C14" s="21">
        <f t="shared" si="1"/>
        <v>5</v>
      </c>
      <c r="D14" s="22"/>
      <c r="E14" s="23"/>
      <c r="F14" s="23"/>
      <c r="G14" s="24"/>
      <c r="H14" s="25">
        <f t="shared" si="0"/>
        <v>0</v>
      </c>
      <c r="J14" s="26"/>
    </row>
    <row r="15" spans="3:10" ht="14.5">
      <c r="C15" s="21">
        <f t="shared" si="1"/>
        <v>6</v>
      </c>
      <c r="D15" s="27"/>
      <c r="E15" s="23"/>
      <c r="F15" s="27"/>
      <c r="G15" s="28"/>
      <c r="H15" s="25">
        <f t="shared" si="0"/>
        <v>0</v>
      </c>
      <c r="J15" s="26"/>
    </row>
    <row r="16" spans="3:10" ht="14.5">
      <c r="C16" s="21">
        <f t="shared" si="1"/>
        <v>7</v>
      </c>
      <c r="D16" s="27"/>
      <c r="E16" s="23"/>
      <c r="F16" s="27"/>
      <c r="G16" s="28"/>
      <c r="H16" s="25">
        <f t="shared" si="0"/>
        <v>0</v>
      </c>
      <c r="J16" s="26"/>
    </row>
    <row r="17" spans="3:11" ht="14.5">
      <c r="C17" s="21">
        <f t="shared" si="1"/>
        <v>8</v>
      </c>
      <c r="D17" s="27"/>
      <c r="E17" s="23"/>
      <c r="F17" s="27"/>
      <c r="G17" s="28"/>
      <c r="H17" s="25">
        <f t="shared" si="0"/>
        <v>0</v>
      </c>
      <c r="J17" s="26"/>
    </row>
    <row r="18" spans="3:11" ht="14.5">
      <c r="C18" s="21">
        <f t="shared" si="1"/>
        <v>9</v>
      </c>
      <c r="D18" s="30"/>
      <c r="E18" s="31"/>
      <c r="F18" s="30"/>
      <c r="G18" s="32"/>
      <c r="H18" s="33">
        <f t="shared" si="0"/>
        <v>0</v>
      </c>
      <c r="J18" s="26"/>
    </row>
    <row r="19" spans="3:11" ht="15" thickBot="1">
      <c r="C19" s="34">
        <f>1+C18</f>
        <v>10</v>
      </c>
      <c r="D19" s="35"/>
      <c r="E19" s="36"/>
      <c r="F19" s="37"/>
      <c r="G19" s="38"/>
      <c r="H19" s="39">
        <f t="shared" si="0"/>
        <v>0</v>
      </c>
      <c r="J19" s="26"/>
    </row>
    <row r="20" spans="3:11" ht="16.5" thickBot="1">
      <c r="C20" s="184" t="s">
        <v>13</v>
      </c>
      <c r="D20" s="185"/>
      <c r="E20" s="185"/>
      <c r="F20" s="185"/>
      <c r="G20" s="185"/>
      <c r="H20" s="40">
        <f>SUM(H10:H19)</f>
        <v>0</v>
      </c>
      <c r="I20" s="26">
        <f>H20</f>
        <v>0</v>
      </c>
      <c r="J20" s="26"/>
      <c r="K20" s="41"/>
    </row>
    <row r="21" spans="3:11" ht="13.5" thickBot="1"/>
    <row r="22" spans="3:11" ht="18" customHeight="1" thickBot="1">
      <c r="C22" s="186" t="s">
        <v>76</v>
      </c>
      <c r="D22" s="187"/>
      <c r="E22" s="187"/>
      <c r="F22" s="187"/>
      <c r="G22" s="187"/>
      <c r="H22" s="188"/>
    </row>
    <row r="23" spans="3:11" ht="15" customHeight="1">
      <c r="C23" s="189" t="s">
        <v>20</v>
      </c>
      <c r="D23" s="191" t="s">
        <v>21</v>
      </c>
      <c r="E23" s="191" t="s">
        <v>22</v>
      </c>
      <c r="F23" s="191" t="s">
        <v>23</v>
      </c>
      <c r="G23" s="191" t="s">
        <v>24</v>
      </c>
      <c r="H23" s="193" t="s">
        <v>25</v>
      </c>
    </row>
    <row r="24" spans="3:11" ht="13.9" customHeight="1" thickBot="1">
      <c r="C24" s="190"/>
      <c r="D24" s="192"/>
      <c r="E24" s="192"/>
      <c r="F24" s="192"/>
      <c r="G24" s="192"/>
      <c r="H24" s="194"/>
    </row>
    <row r="25" spans="3:11" ht="14.5">
      <c r="C25" s="21">
        <v>1</v>
      </c>
      <c r="D25" s="22"/>
      <c r="E25" s="23"/>
      <c r="F25" s="29"/>
      <c r="G25" s="24"/>
      <c r="H25" s="25">
        <f>G25*E25</f>
        <v>0</v>
      </c>
      <c r="J25" s="26"/>
    </row>
    <row r="26" spans="3:11" ht="14.5">
      <c r="C26" s="21">
        <f>1+C25</f>
        <v>2</v>
      </c>
      <c r="D26" s="27"/>
      <c r="E26" s="23"/>
      <c r="F26" s="29"/>
      <c r="G26" s="28"/>
      <c r="H26" s="25">
        <f>G26*E26</f>
        <v>0</v>
      </c>
      <c r="J26" s="26"/>
    </row>
    <row r="27" spans="3:11" ht="14.5">
      <c r="C27" s="21">
        <f t="shared" ref="C27:C33" si="2">1+C26</f>
        <v>3</v>
      </c>
      <c r="D27" s="27"/>
      <c r="E27" s="23"/>
      <c r="F27" s="29"/>
      <c r="G27" s="28"/>
      <c r="H27" s="25">
        <f>G27*E27</f>
        <v>0</v>
      </c>
      <c r="J27" s="26"/>
    </row>
    <row r="28" spans="3:11" ht="14.5">
      <c r="C28" s="21">
        <f t="shared" si="2"/>
        <v>4</v>
      </c>
      <c r="D28" s="27"/>
      <c r="E28" s="23"/>
      <c r="F28" s="27"/>
      <c r="G28" s="28"/>
      <c r="H28" s="25">
        <f>G28*E28</f>
        <v>0</v>
      </c>
      <c r="J28" s="26"/>
    </row>
    <row r="29" spans="3:11" ht="14.5">
      <c r="C29" s="21">
        <f t="shared" si="2"/>
        <v>5</v>
      </c>
      <c r="D29" s="22"/>
      <c r="E29" s="23"/>
      <c r="F29" s="27"/>
      <c r="G29" s="24"/>
      <c r="H29" s="25">
        <f t="shared" ref="H29:H34" si="3">G29*E29</f>
        <v>0</v>
      </c>
      <c r="J29" s="26"/>
    </row>
    <row r="30" spans="3:11" ht="14.5">
      <c r="C30" s="21">
        <f t="shared" si="2"/>
        <v>6</v>
      </c>
      <c r="D30" s="27"/>
      <c r="E30" s="23"/>
      <c r="F30" s="27"/>
      <c r="G30" s="28"/>
      <c r="H30" s="25">
        <f t="shared" si="3"/>
        <v>0</v>
      </c>
      <c r="J30" s="26"/>
    </row>
    <row r="31" spans="3:11" ht="14.5">
      <c r="C31" s="21">
        <f t="shared" si="2"/>
        <v>7</v>
      </c>
      <c r="D31" s="27"/>
      <c r="E31" s="23"/>
      <c r="F31" s="27"/>
      <c r="G31" s="28"/>
      <c r="H31" s="25">
        <f t="shared" si="3"/>
        <v>0</v>
      </c>
      <c r="J31" s="26"/>
    </row>
    <row r="32" spans="3:11" ht="14.5">
      <c r="C32" s="21">
        <f t="shared" si="2"/>
        <v>8</v>
      </c>
      <c r="D32" s="27"/>
      <c r="E32" s="23"/>
      <c r="F32" s="27"/>
      <c r="G32" s="28"/>
      <c r="H32" s="25">
        <f t="shared" si="3"/>
        <v>0</v>
      </c>
      <c r="J32" s="26"/>
    </row>
    <row r="33" spans="3:11" ht="14.5">
      <c r="C33" s="21">
        <f t="shared" si="2"/>
        <v>9</v>
      </c>
      <c r="D33" s="30"/>
      <c r="E33" s="31"/>
      <c r="F33" s="30"/>
      <c r="G33" s="32"/>
      <c r="H33" s="33">
        <f t="shared" si="3"/>
        <v>0</v>
      </c>
      <c r="J33" s="26"/>
    </row>
    <row r="34" spans="3:11" ht="15" thickBot="1">
      <c r="C34" s="34">
        <f>1+C33</f>
        <v>10</v>
      </c>
      <c r="D34" s="35"/>
      <c r="E34" s="36"/>
      <c r="F34" s="37"/>
      <c r="G34" s="38"/>
      <c r="H34" s="39">
        <f t="shared" si="3"/>
        <v>0</v>
      </c>
      <c r="J34" s="26"/>
    </row>
    <row r="35" spans="3:11" ht="16.5" thickBot="1">
      <c r="C35" s="184" t="s">
        <v>13</v>
      </c>
      <c r="D35" s="185"/>
      <c r="E35" s="185"/>
      <c r="F35" s="185"/>
      <c r="G35" s="185"/>
      <c r="H35" s="40">
        <f>SUM(H25:H34)</f>
        <v>0</v>
      </c>
      <c r="I35" s="26">
        <f>H35</f>
        <v>0</v>
      </c>
      <c r="J35" s="26"/>
      <c r="K35" s="41"/>
    </row>
    <row r="36" spans="3:11" ht="13.5" thickBot="1">
      <c r="H36" s="42"/>
    </row>
    <row r="37" spans="3:11" ht="18" customHeight="1" thickBot="1">
      <c r="C37" s="186" t="s">
        <v>77</v>
      </c>
      <c r="D37" s="187"/>
      <c r="E37" s="187"/>
      <c r="F37" s="187"/>
      <c r="G37" s="187"/>
      <c r="H37" s="188"/>
    </row>
    <row r="38" spans="3:11" ht="15" customHeight="1">
      <c r="C38" s="189" t="s">
        <v>20</v>
      </c>
      <c r="D38" s="191" t="s">
        <v>21</v>
      </c>
      <c r="E38" s="191" t="s">
        <v>22</v>
      </c>
      <c r="F38" s="191" t="s">
        <v>23</v>
      </c>
      <c r="G38" s="191" t="s">
        <v>24</v>
      </c>
      <c r="H38" s="193" t="s">
        <v>25</v>
      </c>
    </row>
    <row r="39" spans="3:11" ht="13.9" customHeight="1" thickBot="1">
      <c r="C39" s="190"/>
      <c r="D39" s="192"/>
      <c r="E39" s="192"/>
      <c r="F39" s="192"/>
      <c r="G39" s="192"/>
      <c r="H39" s="194"/>
    </row>
    <row r="40" spans="3:11" ht="14.5">
      <c r="C40" s="21">
        <v>1</v>
      </c>
      <c r="D40" s="22"/>
      <c r="E40" s="23"/>
      <c r="F40" s="29"/>
      <c r="G40" s="24"/>
      <c r="H40" s="25">
        <f>G40*E40</f>
        <v>0</v>
      </c>
      <c r="J40" s="26"/>
    </row>
    <row r="41" spans="3:11" ht="14.5">
      <c r="C41" s="21">
        <f>1+C40</f>
        <v>2</v>
      </c>
      <c r="D41" s="27"/>
      <c r="E41" s="23"/>
      <c r="F41" s="29"/>
      <c r="G41" s="28"/>
      <c r="H41" s="25">
        <f>G41*E41</f>
        <v>0</v>
      </c>
      <c r="J41" s="26"/>
    </row>
    <row r="42" spans="3:11" ht="14.5">
      <c r="C42" s="21">
        <f t="shared" ref="C42:C48" si="4">1+C41</f>
        <v>3</v>
      </c>
      <c r="D42" s="27"/>
      <c r="E42" s="23"/>
      <c r="F42" s="29"/>
      <c r="G42" s="28"/>
      <c r="H42" s="25">
        <f>G42*E42</f>
        <v>0</v>
      </c>
      <c r="J42" s="26"/>
    </row>
    <row r="43" spans="3:11" ht="14.5">
      <c r="C43" s="21">
        <f t="shared" si="4"/>
        <v>4</v>
      </c>
      <c r="D43" s="27"/>
      <c r="E43" s="23"/>
      <c r="F43" s="27"/>
      <c r="G43" s="28"/>
      <c r="H43" s="25">
        <f>G43*E43</f>
        <v>0</v>
      </c>
      <c r="J43" s="26"/>
    </row>
    <row r="44" spans="3:11" ht="14.5">
      <c r="C44" s="21">
        <f t="shared" si="4"/>
        <v>5</v>
      </c>
      <c r="D44" s="22"/>
      <c r="E44" s="23"/>
      <c r="F44" s="29"/>
      <c r="G44" s="24"/>
      <c r="H44" s="25">
        <f t="shared" ref="H44:H49" si="5">G44*E44</f>
        <v>0</v>
      </c>
      <c r="J44" s="26"/>
    </row>
    <row r="45" spans="3:11" ht="14.5">
      <c r="C45" s="21">
        <f t="shared" si="4"/>
        <v>6</v>
      </c>
      <c r="D45" s="27"/>
      <c r="E45" s="23"/>
      <c r="F45" s="27"/>
      <c r="G45" s="28"/>
      <c r="H45" s="25">
        <f t="shared" si="5"/>
        <v>0</v>
      </c>
      <c r="J45" s="26"/>
    </row>
    <row r="46" spans="3:11" ht="14.5">
      <c r="C46" s="21">
        <f t="shared" si="4"/>
        <v>7</v>
      </c>
      <c r="D46" s="27"/>
      <c r="E46" s="23"/>
      <c r="F46" s="27"/>
      <c r="G46" s="28"/>
      <c r="H46" s="25">
        <f t="shared" si="5"/>
        <v>0</v>
      </c>
      <c r="J46" s="26"/>
    </row>
    <row r="47" spans="3:11" ht="14.5">
      <c r="C47" s="21">
        <f t="shared" si="4"/>
        <v>8</v>
      </c>
      <c r="D47" s="27"/>
      <c r="E47" s="23"/>
      <c r="F47" s="27"/>
      <c r="G47" s="28"/>
      <c r="H47" s="25">
        <f t="shared" si="5"/>
        <v>0</v>
      </c>
      <c r="J47" s="26"/>
    </row>
    <row r="48" spans="3:11" ht="14.5">
      <c r="C48" s="21">
        <f t="shared" si="4"/>
        <v>9</v>
      </c>
      <c r="D48" s="30"/>
      <c r="E48" s="31"/>
      <c r="F48" s="30"/>
      <c r="G48" s="32"/>
      <c r="H48" s="33">
        <f t="shared" si="5"/>
        <v>0</v>
      </c>
      <c r="J48" s="26"/>
    </row>
    <row r="49" spans="3:11" ht="15" thickBot="1">
      <c r="C49" s="34">
        <f>1+C48</f>
        <v>10</v>
      </c>
      <c r="D49" s="35"/>
      <c r="E49" s="36"/>
      <c r="F49" s="37"/>
      <c r="G49" s="38"/>
      <c r="H49" s="39">
        <f t="shared" si="5"/>
        <v>0</v>
      </c>
      <c r="J49" s="26"/>
    </row>
    <row r="50" spans="3:11" ht="16.5" thickBot="1">
      <c r="C50" s="184" t="s">
        <v>13</v>
      </c>
      <c r="D50" s="185"/>
      <c r="E50" s="185"/>
      <c r="F50" s="185"/>
      <c r="G50" s="185"/>
      <c r="H50" s="40">
        <f>SUM(H40:H49)</f>
        <v>0</v>
      </c>
      <c r="I50" s="26">
        <f>H50</f>
        <v>0</v>
      </c>
      <c r="J50" s="26"/>
      <c r="K50" s="41"/>
    </row>
    <row r="51" spans="3:11" ht="13.5" thickBot="1">
      <c r="H51" s="43"/>
    </row>
    <row r="52" spans="3:11" ht="18" customHeight="1" thickBot="1">
      <c r="C52" s="186" t="s">
        <v>78</v>
      </c>
      <c r="D52" s="187"/>
      <c r="E52" s="187"/>
      <c r="F52" s="187"/>
      <c r="G52" s="187"/>
      <c r="H52" s="188"/>
    </row>
    <row r="53" spans="3:11" ht="15" customHeight="1">
      <c r="C53" s="189" t="s">
        <v>20</v>
      </c>
      <c r="D53" s="191" t="s">
        <v>21</v>
      </c>
      <c r="E53" s="191" t="s">
        <v>22</v>
      </c>
      <c r="F53" s="191" t="s">
        <v>23</v>
      </c>
      <c r="G53" s="191" t="s">
        <v>24</v>
      </c>
      <c r="H53" s="193" t="s">
        <v>25</v>
      </c>
    </row>
    <row r="54" spans="3:11" ht="13.9" customHeight="1" thickBot="1">
      <c r="C54" s="190"/>
      <c r="D54" s="192"/>
      <c r="E54" s="192"/>
      <c r="F54" s="192"/>
      <c r="G54" s="192"/>
      <c r="H54" s="194"/>
    </row>
    <row r="55" spans="3:11" ht="14.5">
      <c r="C55" s="21">
        <v>1</v>
      </c>
      <c r="D55" s="22"/>
      <c r="E55" s="23"/>
      <c r="F55" s="29"/>
      <c r="G55" s="24"/>
      <c r="H55" s="25">
        <f>G55*E55</f>
        <v>0</v>
      </c>
      <c r="J55" s="26"/>
    </row>
    <row r="56" spans="3:11" ht="14.5">
      <c r="C56" s="21">
        <f>1+C55</f>
        <v>2</v>
      </c>
      <c r="D56" s="27"/>
      <c r="E56" s="23"/>
      <c r="F56" s="29"/>
      <c r="G56" s="28"/>
      <c r="H56" s="25">
        <f>G56*E56</f>
        <v>0</v>
      </c>
      <c r="J56" s="26"/>
    </row>
    <row r="57" spans="3:11" ht="14.5">
      <c r="C57" s="21">
        <f t="shared" ref="C57:C63" si="6">1+C56</f>
        <v>3</v>
      </c>
      <c r="D57" s="27"/>
      <c r="E57" s="23"/>
      <c r="F57" s="29"/>
      <c r="G57" s="28"/>
      <c r="H57" s="25">
        <f>G57*E57</f>
        <v>0</v>
      </c>
      <c r="J57" s="26"/>
    </row>
    <row r="58" spans="3:11" ht="14.5">
      <c r="C58" s="21">
        <f t="shared" si="6"/>
        <v>4</v>
      </c>
      <c r="D58" s="27"/>
      <c r="E58" s="23"/>
      <c r="F58" s="27"/>
      <c r="G58" s="28"/>
      <c r="H58" s="25">
        <f>G58*E58</f>
        <v>0</v>
      </c>
      <c r="J58" s="26"/>
    </row>
    <row r="59" spans="3:11" ht="14.5">
      <c r="C59" s="21">
        <f t="shared" si="6"/>
        <v>5</v>
      </c>
      <c r="D59" s="22"/>
      <c r="E59" s="23"/>
      <c r="F59" s="29"/>
      <c r="G59" s="24"/>
      <c r="H59" s="25">
        <f t="shared" ref="H59:H64" si="7">G59*E59</f>
        <v>0</v>
      </c>
      <c r="J59" s="26"/>
    </row>
    <row r="60" spans="3:11" ht="14.5">
      <c r="C60" s="21">
        <f t="shared" si="6"/>
        <v>6</v>
      </c>
      <c r="D60" s="27"/>
      <c r="E60" s="23"/>
      <c r="F60" s="27"/>
      <c r="G60" s="28"/>
      <c r="H60" s="25">
        <f t="shared" si="7"/>
        <v>0</v>
      </c>
      <c r="J60" s="26"/>
    </row>
    <row r="61" spans="3:11" ht="14.5">
      <c r="C61" s="21">
        <f t="shared" si="6"/>
        <v>7</v>
      </c>
      <c r="D61" s="27"/>
      <c r="E61" s="23"/>
      <c r="F61" s="27"/>
      <c r="G61" s="28"/>
      <c r="H61" s="25">
        <f t="shared" si="7"/>
        <v>0</v>
      </c>
      <c r="J61" s="26"/>
    </row>
    <row r="62" spans="3:11" ht="14.5">
      <c r="C62" s="21">
        <f t="shared" si="6"/>
        <v>8</v>
      </c>
      <c r="D62" s="27"/>
      <c r="E62" s="23"/>
      <c r="F62" s="27"/>
      <c r="G62" s="28"/>
      <c r="H62" s="25">
        <f t="shared" si="7"/>
        <v>0</v>
      </c>
      <c r="J62" s="26"/>
    </row>
    <row r="63" spans="3:11" ht="14.5">
      <c r="C63" s="21">
        <f t="shared" si="6"/>
        <v>9</v>
      </c>
      <c r="D63" s="30"/>
      <c r="E63" s="31"/>
      <c r="F63" s="30"/>
      <c r="G63" s="32"/>
      <c r="H63" s="33">
        <f t="shared" si="7"/>
        <v>0</v>
      </c>
      <c r="J63" s="26"/>
    </row>
    <row r="64" spans="3:11" ht="15" thickBot="1">
      <c r="C64" s="34">
        <f>1+C63</f>
        <v>10</v>
      </c>
      <c r="D64" s="35"/>
      <c r="E64" s="36"/>
      <c r="F64" s="37"/>
      <c r="G64" s="38"/>
      <c r="H64" s="39">
        <f t="shared" si="7"/>
        <v>0</v>
      </c>
      <c r="J64" s="26"/>
    </row>
    <row r="65" spans="3:11" ht="16.5" thickBot="1">
      <c r="C65" s="184" t="s">
        <v>13</v>
      </c>
      <c r="D65" s="185"/>
      <c r="E65" s="185"/>
      <c r="F65" s="185"/>
      <c r="G65" s="185"/>
      <c r="H65" s="40">
        <f>SUM(H55:H64)</f>
        <v>0</v>
      </c>
      <c r="I65" s="26">
        <f>H65</f>
        <v>0</v>
      </c>
      <c r="J65" s="26"/>
      <c r="K65" s="41"/>
    </row>
    <row r="66" spans="3:11" ht="15" customHeight="1">
      <c r="C66" s="178"/>
      <c r="D66" s="178"/>
      <c r="E66" s="44"/>
      <c r="F66" s="178"/>
      <c r="G66" s="178"/>
      <c r="H66" s="178"/>
    </row>
    <row r="67" spans="3:11" ht="14.5">
      <c r="C67" s="178"/>
      <c r="D67" s="178"/>
      <c r="E67" s="44"/>
      <c r="F67" s="178"/>
      <c r="G67" s="178"/>
      <c r="H67" s="178"/>
    </row>
    <row r="68" spans="3:11" ht="15" thickBot="1">
      <c r="C68" s="45"/>
      <c r="E68" s="46"/>
      <c r="F68" s="47"/>
      <c r="G68" s="48"/>
      <c r="H68" s="49"/>
    </row>
    <row r="69" spans="3:11" ht="21.4" customHeight="1" thickBot="1">
      <c r="C69" s="180" t="s">
        <v>27</v>
      </c>
      <c r="D69" s="181"/>
      <c r="E69" s="181"/>
      <c r="F69" s="181"/>
      <c r="G69" s="182"/>
      <c r="H69" s="50">
        <f>SUM(I:I)</f>
        <v>0</v>
      </c>
    </row>
    <row r="70" spans="3:11" ht="14.5">
      <c r="C70" s="45"/>
      <c r="E70" s="46"/>
      <c r="F70" s="47"/>
      <c r="G70" s="48"/>
      <c r="H70" s="49"/>
    </row>
    <row r="71" spans="3:11" ht="15" customHeight="1">
      <c r="C71" s="45"/>
      <c r="E71" s="46"/>
      <c r="F71" s="47"/>
      <c r="G71" s="48"/>
      <c r="H71" s="49"/>
    </row>
    <row r="72" spans="3:11" ht="14.5">
      <c r="C72" s="45"/>
      <c r="E72" s="46"/>
      <c r="F72" s="47"/>
      <c r="G72" s="48"/>
      <c r="H72" s="49"/>
    </row>
    <row r="73" spans="3:11" ht="14.5">
      <c r="C73" s="45"/>
      <c r="E73" s="46"/>
      <c r="F73" s="47"/>
      <c r="G73" s="48"/>
      <c r="H73" s="49"/>
    </row>
    <row r="74" spans="3:11" ht="14.5">
      <c r="C74" s="45"/>
      <c r="E74" s="46"/>
      <c r="F74" s="47"/>
      <c r="G74" s="48"/>
      <c r="H74" s="49"/>
    </row>
    <row r="75" spans="3:11" ht="14.5">
      <c r="C75" s="45"/>
      <c r="E75" s="46"/>
      <c r="F75" s="47"/>
      <c r="G75" s="48"/>
      <c r="H75" s="49"/>
    </row>
    <row r="76" spans="3:11" ht="14.5">
      <c r="C76" s="45"/>
      <c r="D76" s="51"/>
      <c r="E76" s="46"/>
      <c r="F76" s="47"/>
      <c r="G76" s="52"/>
      <c r="H76" s="49"/>
    </row>
    <row r="77" spans="3:11" ht="14.5">
      <c r="C77" s="45"/>
      <c r="D77" s="51"/>
      <c r="E77" s="46"/>
      <c r="F77" s="47"/>
      <c r="G77" s="53"/>
      <c r="H77" s="49"/>
    </row>
    <row r="78" spans="3:11" ht="14.25" customHeight="1">
      <c r="C78" s="45"/>
      <c r="D78" s="51"/>
      <c r="E78" s="46"/>
      <c r="F78" s="47"/>
      <c r="G78" s="53"/>
      <c r="H78" s="49"/>
    </row>
    <row r="79" spans="3:11" ht="14.5">
      <c r="C79" s="45"/>
      <c r="D79" s="51"/>
      <c r="E79" s="46"/>
      <c r="F79" s="47"/>
      <c r="G79" s="53"/>
      <c r="H79" s="49"/>
    </row>
    <row r="80" spans="3:11" ht="14.5">
      <c r="C80" s="45"/>
      <c r="D80" s="51"/>
      <c r="E80" s="46"/>
      <c r="F80" s="47"/>
      <c r="G80" s="53"/>
      <c r="H80" s="49"/>
    </row>
    <row r="81" spans="3:8" ht="14.5">
      <c r="C81" s="45"/>
      <c r="D81" s="51"/>
      <c r="E81" s="46"/>
      <c r="F81" s="47"/>
      <c r="G81" s="53"/>
      <c r="H81" s="49"/>
    </row>
    <row r="82" spans="3:8" ht="14.5">
      <c r="C82" s="45"/>
      <c r="D82" s="51"/>
      <c r="E82" s="46"/>
      <c r="F82" s="51"/>
      <c r="G82" s="53"/>
      <c r="H82" s="49"/>
    </row>
    <row r="83" spans="3:8" ht="14.5">
      <c r="C83" s="179"/>
      <c r="D83" s="179"/>
      <c r="E83" s="179"/>
      <c r="F83" s="179"/>
      <c r="G83" s="179"/>
      <c r="H83" s="49"/>
    </row>
    <row r="84" spans="3:8" ht="6" customHeight="1"/>
    <row r="87" spans="3:8" ht="18" customHeight="1">
      <c r="C87" s="183"/>
      <c r="D87" s="183"/>
      <c r="E87" s="183"/>
      <c r="F87" s="183"/>
      <c r="G87" s="183"/>
      <c r="H87" s="183"/>
    </row>
    <row r="88" spans="3:8" ht="15" customHeight="1">
      <c r="C88" s="178"/>
      <c r="D88" s="178"/>
      <c r="E88" s="44"/>
      <c r="F88" s="178"/>
      <c r="G88" s="178"/>
      <c r="H88" s="178"/>
    </row>
    <row r="89" spans="3:8" ht="14.5">
      <c r="C89" s="178"/>
      <c r="D89" s="178"/>
      <c r="E89" s="44"/>
      <c r="F89" s="178"/>
      <c r="G89" s="178"/>
      <c r="H89" s="178"/>
    </row>
    <row r="90" spans="3:8" ht="14.5">
      <c r="C90" s="45"/>
      <c r="E90" s="46"/>
      <c r="F90" s="47"/>
      <c r="G90" s="48"/>
      <c r="H90" s="49"/>
    </row>
    <row r="91" spans="3:8" ht="14.5">
      <c r="C91" s="45"/>
      <c r="D91" s="51"/>
      <c r="E91" s="46"/>
      <c r="F91" s="47"/>
      <c r="G91" s="52"/>
      <c r="H91" s="49"/>
    </row>
    <row r="92" spans="3:8" ht="15" customHeight="1">
      <c r="C92" s="45"/>
      <c r="D92" s="51"/>
      <c r="E92" s="46"/>
      <c r="F92" s="47"/>
      <c r="G92" s="53"/>
      <c r="H92" s="49"/>
    </row>
    <row r="93" spans="3:8" ht="14.5">
      <c r="C93" s="45"/>
      <c r="D93" s="51"/>
      <c r="E93" s="46"/>
      <c r="F93" s="47"/>
      <c r="G93" s="53"/>
      <c r="H93" s="49"/>
    </row>
    <row r="94" spans="3:8" ht="14.5">
      <c r="C94" s="45"/>
      <c r="D94" s="51"/>
      <c r="E94" s="46"/>
      <c r="F94" s="47"/>
      <c r="G94" s="53"/>
      <c r="H94" s="49"/>
    </row>
    <row r="95" spans="3:8" ht="14.5">
      <c r="C95" s="45"/>
      <c r="E95" s="46"/>
      <c r="F95" s="47"/>
      <c r="G95" s="48"/>
      <c r="H95" s="49"/>
    </row>
    <row r="96" spans="3:8" ht="14.5">
      <c r="C96" s="45"/>
      <c r="D96" s="51"/>
      <c r="E96" s="46"/>
      <c r="F96" s="47"/>
      <c r="G96" s="53"/>
      <c r="H96" s="49"/>
    </row>
    <row r="97" spans="3:8" ht="14.5">
      <c r="C97" s="45"/>
      <c r="E97" s="46"/>
      <c r="F97" s="47"/>
      <c r="G97" s="48"/>
      <c r="H97" s="49"/>
    </row>
    <row r="98" spans="3:8" ht="14.5">
      <c r="C98" s="45"/>
      <c r="D98" s="51"/>
      <c r="E98" s="46"/>
      <c r="F98" s="47"/>
      <c r="G98" s="53"/>
      <c r="H98" s="49"/>
    </row>
    <row r="99" spans="3:8" ht="14.5">
      <c r="C99" s="45"/>
      <c r="D99" s="51"/>
      <c r="E99" s="46"/>
      <c r="F99" s="47"/>
      <c r="G99" s="53"/>
      <c r="H99" s="49"/>
    </row>
    <row r="100" spans="3:8" ht="14.25" customHeight="1">
      <c r="C100" s="45"/>
      <c r="D100" s="51"/>
      <c r="E100" s="46"/>
      <c r="F100" s="51"/>
      <c r="G100" s="53"/>
      <c r="H100" s="49"/>
    </row>
    <row r="101" spans="3:8" ht="14.5">
      <c r="C101" s="45"/>
      <c r="D101" s="51"/>
      <c r="E101" s="46"/>
      <c r="F101" s="54"/>
      <c r="G101" s="53"/>
      <c r="H101" s="49"/>
    </row>
    <row r="102" spans="3:8" ht="14.5">
      <c r="C102" s="45"/>
      <c r="D102" s="51"/>
      <c r="E102" s="46"/>
      <c r="F102" s="54"/>
      <c r="G102" s="53"/>
      <c r="H102" s="49"/>
    </row>
    <row r="103" spans="3:8" ht="14.5">
      <c r="C103" s="45"/>
      <c r="D103" s="51"/>
      <c r="E103" s="46"/>
      <c r="F103" s="54"/>
      <c r="G103" s="53"/>
      <c r="H103" s="49"/>
    </row>
    <row r="104" spans="3:8" ht="14.5">
      <c r="C104" s="179"/>
      <c r="D104" s="179"/>
      <c r="E104" s="179"/>
      <c r="F104" s="179"/>
      <c r="G104" s="179"/>
      <c r="H104" s="49"/>
    </row>
    <row r="105" spans="3:8" ht="6" customHeight="1"/>
    <row r="107" spans="3:8">
      <c r="G107" s="55"/>
      <c r="H107" s="56"/>
    </row>
  </sheetData>
  <mergeCells count="47">
    <mergeCell ref="C2:H5"/>
    <mergeCell ref="C7:H7"/>
    <mergeCell ref="C8:C9"/>
    <mergeCell ref="D8:D9"/>
    <mergeCell ref="E8:E9"/>
    <mergeCell ref="F8:F9"/>
    <mergeCell ref="G8:G9"/>
    <mergeCell ref="H8:H9"/>
    <mergeCell ref="C20:G20"/>
    <mergeCell ref="C22:H22"/>
    <mergeCell ref="C23:C24"/>
    <mergeCell ref="D23:D24"/>
    <mergeCell ref="E23:E24"/>
    <mergeCell ref="F23:F24"/>
    <mergeCell ref="G23:G24"/>
    <mergeCell ref="H23:H24"/>
    <mergeCell ref="C35:G35"/>
    <mergeCell ref="C37:H37"/>
    <mergeCell ref="C38:C39"/>
    <mergeCell ref="D38:D39"/>
    <mergeCell ref="E38:E39"/>
    <mergeCell ref="F38:F39"/>
    <mergeCell ref="G38:G39"/>
    <mergeCell ref="H38:H39"/>
    <mergeCell ref="C50:G50"/>
    <mergeCell ref="C52:H52"/>
    <mergeCell ref="C53:C54"/>
    <mergeCell ref="D53:D54"/>
    <mergeCell ref="E53:E54"/>
    <mergeCell ref="F53:F54"/>
    <mergeCell ref="G53:G54"/>
    <mergeCell ref="H53:H54"/>
    <mergeCell ref="C65:G65"/>
    <mergeCell ref="C66:C67"/>
    <mergeCell ref="D66:D67"/>
    <mergeCell ref="F66:F67"/>
    <mergeCell ref="G66:G67"/>
    <mergeCell ref="H88:H89"/>
    <mergeCell ref="C104:G104"/>
    <mergeCell ref="H66:H67"/>
    <mergeCell ref="C69:G69"/>
    <mergeCell ref="C83:G83"/>
    <mergeCell ref="C87:H87"/>
    <mergeCell ref="C88:C89"/>
    <mergeCell ref="D88:D89"/>
    <mergeCell ref="F88:F89"/>
    <mergeCell ref="G88:G89"/>
  </mergeCells>
  <pageMargins left="0.7" right="0.7" top="0.75" bottom="0.75" header="0.3" footer="0.3"/>
  <pageSetup scale="90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5CF2-EBEC-4C94-9F75-EB19607A1B9E}">
  <sheetPr codeName="Sheet5"/>
  <dimension ref="C2:K107"/>
  <sheetViews>
    <sheetView showGridLines="0" zoomScale="85" zoomScaleNormal="85" workbookViewId="0">
      <selection activeCell="E55" sqref="E55:G58"/>
    </sheetView>
  </sheetViews>
  <sheetFormatPr defaultColWidth="9.26953125" defaultRowHeight="13"/>
  <cols>
    <col min="1" max="2" width="7.7265625" style="20" customWidth="1"/>
    <col min="3" max="3" width="5.26953125" style="20" customWidth="1"/>
    <col min="4" max="4" width="41.7265625" style="20" customWidth="1"/>
    <col min="5" max="5" width="11.453125" style="20" bestFit="1" customWidth="1"/>
    <col min="6" max="6" width="8.54296875" style="20" customWidth="1"/>
    <col min="7" max="7" width="20.26953125" style="20" customWidth="1"/>
    <col min="8" max="8" width="16.7265625" style="20" bestFit="1" customWidth="1"/>
    <col min="9" max="9" width="1.453125" style="20" customWidth="1"/>
    <col min="10" max="10" width="9.26953125" style="20"/>
    <col min="11" max="11" width="11.7265625" style="20" bestFit="1" customWidth="1"/>
    <col min="12" max="16384" width="9.26953125" style="20"/>
  </cols>
  <sheetData>
    <row r="2" spans="3:10">
      <c r="C2" s="195" t="s">
        <v>74</v>
      </c>
      <c r="D2" s="196"/>
      <c r="E2" s="196"/>
      <c r="F2" s="196"/>
      <c r="G2" s="196"/>
      <c r="H2" s="196"/>
    </row>
    <row r="3" spans="3:10">
      <c r="C3" s="196"/>
      <c r="D3" s="196"/>
      <c r="E3" s="196"/>
      <c r="F3" s="196"/>
      <c r="G3" s="196"/>
      <c r="H3" s="196"/>
    </row>
    <row r="4" spans="3:10">
      <c r="C4" s="196"/>
      <c r="D4" s="196"/>
      <c r="E4" s="196"/>
      <c r="F4" s="196"/>
      <c r="G4" s="196"/>
      <c r="H4" s="196"/>
    </row>
    <row r="5" spans="3:10">
      <c r="C5" s="196"/>
      <c r="D5" s="196"/>
      <c r="E5" s="196"/>
      <c r="F5" s="196"/>
      <c r="G5" s="196"/>
      <c r="H5" s="196"/>
    </row>
    <row r="6" spans="3:10" ht="13.5" thickBot="1"/>
    <row r="7" spans="3:10" ht="18" customHeight="1" thickBot="1">
      <c r="C7" s="186" t="s">
        <v>83</v>
      </c>
      <c r="D7" s="187"/>
      <c r="E7" s="187"/>
      <c r="F7" s="187"/>
      <c r="G7" s="187"/>
      <c r="H7" s="188"/>
    </row>
    <row r="8" spans="3:10" ht="15" customHeight="1">
      <c r="C8" s="189" t="s">
        <v>20</v>
      </c>
      <c r="D8" s="191" t="s">
        <v>21</v>
      </c>
      <c r="E8" s="191" t="s">
        <v>22</v>
      </c>
      <c r="F8" s="191" t="s">
        <v>23</v>
      </c>
      <c r="G8" s="191" t="s">
        <v>24</v>
      </c>
      <c r="H8" s="193" t="s">
        <v>25</v>
      </c>
    </row>
    <row r="9" spans="3:10" ht="13.9" customHeight="1" thickBot="1">
      <c r="C9" s="190"/>
      <c r="D9" s="192"/>
      <c r="E9" s="192"/>
      <c r="F9" s="192"/>
      <c r="G9" s="192"/>
      <c r="H9" s="194"/>
    </row>
    <row r="10" spans="3:10" ht="14.5">
      <c r="C10" s="21">
        <v>1</v>
      </c>
      <c r="D10" s="22" t="s">
        <v>28</v>
      </c>
      <c r="E10" s="23"/>
      <c r="F10" s="23"/>
      <c r="G10" s="24"/>
      <c r="H10" s="25">
        <f t="shared" ref="H10:H19" si="0">G10*E10</f>
        <v>0</v>
      </c>
      <c r="J10" s="26"/>
    </row>
    <row r="11" spans="3:10" ht="14.5">
      <c r="C11" s="21">
        <f>1+C10</f>
        <v>2</v>
      </c>
      <c r="D11" s="27" t="s">
        <v>29</v>
      </c>
      <c r="E11" s="23"/>
      <c r="F11" s="23"/>
      <c r="G11" s="28"/>
      <c r="H11" s="25">
        <f t="shared" si="0"/>
        <v>0</v>
      </c>
      <c r="J11" s="26"/>
    </row>
    <row r="12" spans="3:10" ht="14.5">
      <c r="C12" s="21">
        <f t="shared" ref="C12:C18" si="1">1+C11</f>
        <v>3</v>
      </c>
      <c r="D12" s="27" t="s">
        <v>30</v>
      </c>
      <c r="E12" s="23"/>
      <c r="F12" s="23"/>
      <c r="G12" s="28"/>
      <c r="H12" s="25">
        <f t="shared" si="0"/>
        <v>0</v>
      </c>
      <c r="J12" s="26"/>
    </row>
    <row r="13" spans="3:10" ht="14.5">
      <c r="C13" s="21">
        <f t="shared" si="1"/>
        <v>4</v>
      </c>
      <c r="D13" s="27" t="s">
        <v>31</v>
      </c>
      <c r="E13" s="23"/>
      <c r="F13" s="23"/>
      <c r="G13" s="28"/>
      <c r="H13" s="25">
        <f>G13*E13</f>
        <v>0</v>
      </c>
      <c r="J13" s="26"/>
    </row>
    <row r="14" spans="3:10" ht="14.5">
      <c r="C14" s="21">
        <f t="shared" si="1"/>
        <v>5</v>
      </c>
      <c r="D14" s="27"/>
      <c r="E14" s="23"/>
      <c r="F14" s="68"/>
      <c r="G14" s="28"/>
      <c r="H14" s="25">
        <f t="shared" si="0"/>
        <v>0</v>
      </c>
      <c r="J14" s="26"/>
    </row>
    <row r="15" spans="3:10" ht="14.5">
      <c r="C15" s="21">
        <f t="shared" si="1"/>
        <v>6</v>
      </c>
      <c r="D15" s="27"/>
      <c r="E15" s="23"/>
      <c r="F15" s="27"/>
      <c r="G15" s="28"/>
      <c r="H15" s="25">
        <f t="shared" si="0"/>
        <v>0</v>
      </c>
      <c r="J15" s="26"/>
    </row>
    <row r="16" spans="3:10" ht="14.5">
      <c r="C16" s="21">
        <f t="shared" si="1"/>
        <v>7</v>
      </c>
      <c r="D16" s="27"/>
      <c r="E16" s="23"/>
      <c r="F16" s="27"/>
      <c r="G16" s="28"/>
      <c r="H16" s="25">
        <f t="shared" si="0"/>
        <v>0</v>
      </c>
      <c r="J16" s="26"/>
    </row>
    <row r="17" spans="3:11" ht="14.5">
      <c r="C17" s="21">
        <f t="shared" si="1"/>
        <v>8</v>
      </c>
      <c r="D17" s="27"/>
      <c r="E17" s="23"/>
      <c r="F17" s="27"/>
      <c r="G17" s="28"/>
      <c r="H17" s="25">
        <f t="shared" si="0"/>
        <v>0</v>
      </c>
      <c r="J17" s="26"/>
    </row>
    <row r="18" spans="3:11" ht="14.5">
      <c r="C18" s="21">
        <f t="shared" si="1"/>
        <v>9</v>
      </c>
      <c r="D18" s="30"/>
      <c r="E18" s="31"/>
      <c r="F18" s="30"/>
      <c r="G18" s="32"/>
      <c r="H18" s="33">
        <f t="shared" si="0"/>
        <v>0</v>
      </c>
      <c r="J18" s="26"/>
    </row>
    <row r="19" spans="3:11" ht="15" thickBot="1">
      <c r="C19" s="34">
        <f>1+C18</f>
        <v>10</v>
      </c>
      <c r="D19" s="35"/>
      <c r="E19" s="36"/>
      <c r="F19" s="37"/>
      <c r="G19" s="38"/>
      <c r="H19" s="39">
        <f t="shared" si="0"/>
        <v>0</v>
      </c>
      <c r="J19" s="26"/>
    </row>
    <row r="20" spans="3:11" ht="16.5" thickBot="1">
      <c r="C20" s="184" t="s">
        <v>13</v>
      </c>
      <c r="D20" s="185"/>
      <c r="E20" s="185"/>
      <c r="F20" s="185"/>
      <c r="G20" s="185"/>
      <c r="H20" s="40">
        <f>SUM(H10:H19)</f>
        <v>0</v>
      </c>
      <c r="I20" s="26">
        <f>H20</f>
        <v>0</v>
      </c>
      <c r="J20" s="26"/>
      <c r="K20" s="41"/>
    </row>
    <row r="21" spans="3:11" ht="13.5" thickBot="1"/>
    <row r="22" spans="3:11" ht="18" customHeight="1" thickBot="1">
      <c r="C22" s="186" t="s">
        <v>84</v>
      </c>
      <c r="D22" s="187"/>
      <c r="E22" s="187"/>
      <c r="F22" s="187"/>
      <c r="G22" s="187"/>
      <c r="H22" s="188"/>
    </row>
    <row r="23" spans="3:11" ht="15" customHeight="1">
      <c r="C23" s="189" t="s">
        <v>20</v>
      </c>
      <c r="D23" s="191" t="s">
        <v>21</v>
      </c>
      <c r="E23" s="191" t="s">
        <v>22</v>
      </c>
      <c r="F23" s="191" t="s">
        <v>23</v>
      </c>
      <c r="G23" s="191" t="s">
        <v>24</v>
      </c>
      <c r="H23" s="193" t="s">
        <v>25</v>
      </c>
    </row>
    <row r="24" spans="3:11" ht="13.9" customHeight="1" thickBot="1">
      <c r="C24" s="190"/>
      <c r="D24" s="192"/>
      <c r="E24" s="192"/>
      <c r="F24" s="192"/>
      <c r="G24" s="192"/>
      <c r="H24" s="194"/>
    </row>
    <row r="25" spans="3:11" ht="14.5">
      <c r="C25" s="21">
        <v>1</v>
      </c>
      <c r="D25" s="22" t="s">
        <v>28</v>
      </c>
      <c r="E25" s="23"/>
      <c r="F25" s="23"/>
      <c r="G25" s="24"/>
      <c r="H25" s="25">
        <f>G25*E25</f>
        <v>0</v>
      </c>
      <c r="J25" s="26"/>
    </row>
    <row r="26" spans="3:11" ht="14.5">
      <c r="C26" s="21">
        <f>1+C25</f>
        <v>2</v>
      </c>
      <c r="D26" s="27" t="s">
        <v>29</v>
      </c>
      <c r="E26" s="23"/>
      <c r="F26" s="23"/>
      <c r="G26" s="28"/>
      <c r="H26" s="25">
        <f>G26*E26</f>
        <v>0</v>
      </c>
      <c r="J26" s="26"/>
    </row>
    <row r="27" spans="3:11" ht="14.5">
      <c r="C27" s="21">
        <f t="shared" ref="C27:C33" si="2">1+C26</f>
        <v>3</v>
      </c>
      <c r="D27" s="27" t="s">
        <v>30</v>
      </c>
      <c r="E27" s="23"/>
      <c r="F27" s="23"/>
      <c r="G27" s="28"/>
      <c r="H27" s="25">
        <f>G27*E27</f>
        <v>0</v>
      </c>
      <c r="J27" s="26"/>
    </row>
    <row r="28" spans="3:11" ht="14.5">
      <c r="C28" s="21">
        <f t="shared" si="2"/>
        <v>4</v>
      </c>
      <c r="D28" s="27" t="s">
        <v>31</v>
      </c>
      <c r="E28" s="23"/>
      <c r="F28" s="23"/>
      <c r="G28" s="28"/>
      <c r="H28" s="25">
        <f>G28*E28</f>
        <v>0</v>
      </c>
      <c r="J28" s="26"/>
    </row>
    <row r="29" spans="3:11" ht="14.5">
      <c r="C29" s="21">
        <f t="shared" si="2"/>
        <v>5</v>
      </c>
      <c r="D29" s="27"/>
      <c r="E29" s="23"/>
      <c r="F29" s="68"/>
      <c r="G29" s="28"/>
      <c r="H29" s="25">
        <f t="shared" ref="H29:H34" si="3">G29*E29</f>
        <v>0</v>
      </c>
      <c r="J29" s="26"/>
    </row>
    <row r="30" spans="3:11" ht="14.5">
      <c r="C30" s="21">
        <f t="shared" si="2"/>
        <v>6</v>
      </c>
      <c r="D30" s="27"/>
      <c r="E30" s="23"/>
      <c r="F30" s="27"/>
      <c r="G30" s="28"/>
      <c r="H30" s="25">
        <f t="shared" si="3"/>
        <v>0</v>
      </c>
      <c r="J30" s="26"/>
    </row>
    <row r="31" spans="3:11" ht="14.5">
      <c r="C31" s="21">
        <f t="shared" si="2"/>
        <v>7</v>
      </c>
      <c r="D31" s="27"/>
      <c r="E31" s="23"/>
      <c r="F31" s="27"/>
      <c r="G31" s="28"/>
      <c r="H31" s="25">
        <f t="shared" si="3"/>
        <v>0</v>
      </c>
      <c r="J31" s="26"/>
    </row>
    <row r="32" spans="3:11" ht="14.5">
      <c r="C32" s="21">
        <f t="shared" si="2"/>
        <v>8</v>
      </c>
      <c r="D32" s="27"/>
      <c r="E32" s="23"/>
      <c r="F32" s="27"/>
      <c r="G32" s="28"/>
      <c r="H32" s="25">
        <f t="shared" si="3"/>
        <v>0</v>
      </c>
      <c r="J32" s="26"/>
    </row>
    <row r="33" spans="3:11" ht="14.5">
      <c r="C33" s="21">
        <f t="shared" si="2"/>
        <v>9</v>
      </c>
      <c r="D33" s="30"/>
      <c r="E33" s="31"/>
      <c r="F33" s="30"/>
      <c r="G33" s="32"/>
      <c r="H33" s="33">
        <f t="shared" si="3"/>
        <v>0</v>
      </c>
      <c r="J33" s="26"/>
    </row>
    <row r="34" spans="3:11" ht="15" thickBot="1">
      <c r="C34" s="34">
        <f>1+C33</f>
        <v>10</v>
      </c>
      <c r="D34" s="35"/>
      <c r="E34" s="36"/>
      <c r="F34" s="37"/>
      <c r="G34" s="38"/>
      <c r="H34" s="39">
        <f t="shared" si="3"/>
        <v>0</v>
      </c>
      <c r="J34" s="26"/>
    </row>
    <row r="35" spans="3:11" ht="16.5" thickBot="1">
      <c r="C35" s="184" t="s">
        <v>13</v>
      </c>
      <c r="D35" s="185"/>
      <c r="E35" s="185"/>
      <c r="F35" s="185"/>
      <c r="G35" s="185"/>
      <c r="H35" s="40">
        <f>SUM(H25:H34)</f>
        <v>0</v>
      </c>
      <c r="I35" s="26">
        <f>H35</f>
        <v>0</v>
      </c>
      <c r="J35" s="26"/>
      <c r="K35" s="41"/>
    </row>
    <row r="36" spans="3:11" ht="13.5" thickBot="1">
      <c r="H36" s="42"/>
    </row>
    <row r="37" spans="3:11" ht="18" customHeight="1" thickBot="1">
      <c r="C37" s="186" t="s">
        <v>85</v>
      </c>
      <c r="D37" s="187"/>
      <c r="E37" s="187"/>
      <c r="F37" s="187"/>
      <c r="G37" s="187"/>
      <c r="H37" s="188"/>
    </row>
    <row r="38" spans="3:11" ht="15" customHeight="1">
      <c r="C38" s="189" t="s">
        <v>20</v>
      </c>
      <c r="D38" s="191" t="s">
        <v>21</v>
      </c>
      <c r="E38" s="191" t="s">
        <v>22</v>
      </c>
      <c r="F38" s="191" t="s">
        <v>23</v>
      </c>
      <c r="G38" s="191" t="s">
        <v>24</v>
      </c>
      <c r="H38" s="193" t="s">
        <v>25</v>
      </c>
    </row>
    <row r="39" spans="3:11" ht="13.9" customHeight="1" thickBot="1">
      <c r="C39" s="190"/>
      <c r="D39" s="192"/>
      <c r="E39" s="192"/>
      <c r="F39" s="192"/>
      <c r="G39" s="192"/>
      <c r="H39" s="194"/>
    </row>
    <row r="40" spans="3:11" ht="14.5">
      <c r="C40" s="21">
        <v>1</v>
      </c>
      <c r="D40" s="22" t="s">
        <v>28</v>
      </c>
      <c r="E40" s="23"/>
      <c r="F40" s="23"/>
      <c r="G40" s="24"/>
      <c r="H40" s="25">
        <f>G40*E40</f>
        <v>0</v>
      </c>
      <c r="J40" s="26"/>
    </row>
    <row r="41" spans="3:11" ht="14.5">
      <c r="C41" s="21">
        <f>1+C40</f>
        <v>2</v>
      </c>
      <c r="D41" s="27" t="s">
        <v>29</v>
      </c>
      <c r="E41" s="23"/>
      <c r="F41" s="23"/>
      <c r="G41" s="28"/>
      <c r="H41" s="25">
        <f>G41*E41</f>
        <v>0</v>
      </c>
      <c r="J41" s="26"/>
    </row>
    <row r="42" spans="3:11" ht="14.5">
      <c r="C42" s="21">
        <f t="shared" ref="C42:C48" si="4">1+C41</f>
        <v>3</v>
      </c>
      <c r="D42" s="27" t="s">
        <v>30</v>
      </c>
      <c r="E42" s="23"/>
      <c r="F42" s="23"/>
      <c r="G42" s="28"/>
      <c r="H42" s="25">
        <f>G42*E42</f>
        <v>0</v>
      </c>
      <c r="J42" s="26"/>
    </row>
    <row r="43" spans="3:11" ht="14.5">
      <c r="C43" s="21">
        <f t="shared" si="4"/>
        <v>4</v>
      </c>
      <c r="D43" s="27" t="s">
        <v>31</v>
      </c>
      <c r="E43" s="23"/>
      <c r="F43" s="23"/>
      <c r="G43" s="28"/>
      <c r="H43" s="25">
        <f>G43*E43</f>
        <v>0</v>
      </c>
      <c r="J43" s="26"/>
    </row>
    <row r="44" spans="3:11" ht="14.5">
      <c r="C44" s="21">
        <f t="shared" si="4"/>
        <v>5</v>
      </c>
      <c r="D44" s="27"/>
      <c r="E44" s="23"/>
      <c r="F44" s="68"/>
      <c r="G44" s="28"/>
      <c r="H44" s="25">
        <f t="shared" ref="H44:H49" si="5">G44*E44</f>
        <v>0</v>
      </c>
      <c r="J44" s="26"/>
    </row>
    <row r="45" spans="3:11" ht="14.5">
      <c r="C45" s="21">
        <f t="shared" si="4"/>
        <v>6</v>
      </c>
      <c r="D45" s="27"/>
      <c r="E45" s="23"/>
      <c r="F45" s="27"/>
      <c r="G45" s="28"/>
      <c r="H45" s="25">
        <f t="shared" si="5"/>
        <v>0</v>
      </c>
      <c r="J45" s="26"/>
    </row>
    <row r="46" spans="3:11" ht="14.5">
      <c r="C46" s="21">
        <f t="shared" si="4"/>
        <v>7</v>
      </c>
      <c r="D46" s="27"/>
      <c r="E46" s="23"/>
      <c r="F46" s="27"/>
      <c r="G46" s="28"/>
      <c r="H46" s="25">
        <f t="shared" si="5"/>
        <v>0</v>
      </c>
      <c r="J46" s="26"/>
    </row>
    <row r="47" spans="3:11" ht="14.5">
      <c r="C47" s="21">
        <f t="shared" si="4"/>
        <v>8</v>
      </c>
      <c r="D47" s="27"/>
      <c r="E47" s="23"/>
      <c r="F47" s="27"/>
      <c r="G47" s="28"/>
      <c r="H47" s="25">
        <f t="shared" si="5"/>
        <v>0</v>
      </c>
      <c r="J47" s="26"/>
    </row>
    <row r="48" spans="3:11" ht="14.5">
      <c r="C48" s="21">
        <f t="shared" si="4"/>
        <v>9</v>
      </c>
      <c r="D48" s="30"/>
      <c r="E48" s="31"/>
      <c r="F48" s="30"/>
      <c r="G48" s="32"/>
      <c r="H48" s="33">
        <f t="shared" si="5"/>
        <v>0</v>
      </c>
      <c r="J48" s="26"/>
    </row>
    <row r="49" spans="3:11" ht="15" thickBot="1">
      <c r="C49" s="34">
        <f>1+C48</f>
        <v>10</v>
      </c>
      <c r="D49" s="35"/>
      <c r="E49" s="36"/>
      <c r="F49" s="37"/>
      <c r="G49" s="38"/>
      <c r="H49" s="39">
        <f t="shared" si="5"/>
        <v>0</v>
      </c>
      <c r="J49" s="26"/>
    </row>
    <row r="50" spans="3:11" ht="16.5" thickBot="1">
      <c r="C50" s="184" t="s">
        <v>13</v>
      </c>
      <c r="D50" s="185"/>
      <c r="E50" s="185"/>
      <c r="F50" s="185"/>
      <c r="G50" s="185"/>
      <c r="H50" s="40">
        <f>SUM(H40:H49)</f>
        <v>0</v>
      </c>
      <c r="I50" s="26">
        <f>H50</f>
        <v>0</v>
      </c>
      <c r="J50" s="26"/>
      <c r="K50" s="41"/>
    </row>
    <row r="51" spans="3:11" ht="13.5" thickBot="1">
      <c r="H51" s="43"/>
    </row>
    <row r="52" spans="3:11" ht="18" customHeight="1" thickBot="1">
      <c r="C52" s="186" t="s">
        <v>86</v>
      </c>
      <c r="D52" s="187"/>
      <c r="E52" s="187"/>
      <c r="F52" s="187"/>
      <c r="G52" s="187"/>
      <c r="H52" s="188"/>
    </row>
    <row r="53" spans="3:11" ht="15" customHeight="1">
      <c r="C53" s="189" t="s">
        <v>20</v>
      </c>
      <c r="D53" s="191" t="s">
        <v>21</v>
      </c>
      <c r="E53" s="191" t="s">
        <v>22</v>
      </c>
      <c r="F53" s="191" t="s">
        <v>23</v>
      </c>
      <c r="G53" s="191" t="s">
        <v>24</v>
      </c>
      <c r="H53" s="193" t="s">
        <v>25</v>
      </c>
    </row>
    <row r="54" spans="3:11" ht="13.9" customHeight="1" thickBot="1">
      <c r="C54" s="190"/>
      <c r="D54" s="192"/>
      <c r="E54" s="192"/>
      <c r="F54" s="192"/>
      <c r="G54" s="192"/>
      <c r="H54" s="194"/>
    </row>
    <row r="55" spans="3:11" ht="14.5">
      <c r="C55" s="21">
        <v>1</v>
      </c>
      <c r="D55" s="22" t="s">
        <v>28</v>
      </c>
      <c r="E55" s="23"/>
      <c r="F55" s="23"/>
      <c r="G55" s="24"/>
      <c r="H55" s="25">
        <f>G55*E55</f>
        <v>0</v>
      </c>
      <c r="J55" s="26"/>
    </row>
    <row r="56" spans="3:11" ht="14.5">
      <c r="C56" s="21">
        <f>1+C55</f>
        <v>2</v>
      </c>
      <c r="D56" s="27" t="s">
        <v>29</v>
      </c>
      <c r="E56" s="23"/>
      <c r="F56" s="23"/>
      <c r="G56" s="28"/>
      <c r="H56" s="25">
        <f>G56*E56</f>
        <v>0</v>
      </c>
      <c r="J56" s="26"/>
    </row>
    <row r="57" spans="3:11" ht="14.5">
      <c r="C57" s="21">
        <f t="shared" ref="C57:C63" si="6">1+C56</f>
        <v>3</v>
      </c>
      <c r="D57" s="27" t="s">
        <v>30</v>
      </c>
      <c r="E57" s="23"/>
      <c r="F57" s="23"/>
      <c r="G57" s="28"/>
      <c r="H57" s="25">
        <f>G57*E57</f>
        <v>0</v>
      </c>
      <c r="J57" s="26"/>
    </row>
    <row r="58" spans="3:11" ht="14.5">
      <c r="C58" s="21">
        <f t="shared" si="6"/>
        <v>4</v>
      </c>
      <c r="D58" s="27" t="s">
        <v>31</v>
      </c>
      <c r="E58" s="23"/>
      <c r="F58" s="23"/>
      <c r="G58" s="28"/>
      <c r="H58" s="25">
        <f>G58*E58</f>
        <v>0</v>
      </c>
      <c r="J58" s="26"/>
    </row>
    <row r="59" spans="3:11" ht="14.5">
      <c r="C59" s="21">
        <f t="shared" si="6"/>
        <v>5</v>
      </c>
      <c r="D59" s="27"/>
      <c r="E59" s="23"/>
      <c r="F59" s="68"/>
      <c r="G59" s="28"/>
      <c r="H59" s="25">
        <f t="shared" ref="H59:H64" si="7">G59*E59</f>
        <v>0</v>
      </c>
      <c r="J59" s="26"/>
    </row>
    <row r="60" spans="3:11" ht="14.5">
      <c r="C60" s="21">
        <f t="shared" si="6"/>
        <v>6</v>
      </c>
      <c r="D60" s="27"/>
      <c r="E60" s="23"/>
      <c r="F60" s="27"/>
      <c r="G60" s="28"/>
      <c r="H60" s="25">
        <f t="shared" si="7"/>
        <v>0</v>
      </c>
      <c r="J60" s="26"/>
    </row>
    <row r="61" spans="3:11" ht="14.5">
      <c r="C61" s="21">
        <f t="shared" si="6"/>
        <v>7</v>
      </c>
      <c r="D61" s="27"/>
      <c r="E61" s="23"/>
      <c r="F61" s="27"/>
      <c r="G61" s="28"/>
      <c r="H61" s="25">
        <f t="shared" si="7"/>
        <v>0</v>
      </c>
      <c r="J61" s="26"/>
    </row>
    <row r="62" spans="3:11" ht="14.5">
      <c r="C62" s="21">
        <f t="shared" si="6"/>
        <v>8</v>
      </c>
      <c r="D62" s="27"/>
      <c r="E62" s="23"/>
      <c r="F62" s="27"/>
      <c r="G62" s="28"/>
      <c r="H62" s="25">
        <f t="shared" si="7"/>
        <v>0</v>
      </c>
      <c r="J62" s="26"/>
    </row>
    <row r="63" spans="3:11" ht="14.5">
      <c r="C63" s="21">
        <f t="shared" si="6"/>
        <v>9</v>
      </c>
      <c r="D63" s="30"/>
      <c r="E63" s="31"/>
      <c r="F63" s="30"/>
      <c r="G63" s="32"/>
      <c r="H63" s="33">
        <f t="shared" si="7"/>
        <v>0</v>
      </c>
      <c r="J63" s="26"/>
    </row>
    <row r="64" spans="3:11" ht="15" thickBot="1">
      <c r="C64" s="34">
        <f>1+C63</f>
        <v>10</v>
      </c>
      <c r="D64" s="35"/>
      <c r="E64" s="36"/>
      <c r="F64" s="37"/>
      <c r="G64" s="38"/>
      <c r="H64" s="39">
        <f t="shared" si="7"/>
        <v>0</v>
      </c>
      <c r="J64" s="26"/>
    </row>
    <row r="65" spans="3:11" ht="16.5" thickBot="1">
      <c r="C65" s="184" t="s">
        <v>13</v>
      </c>
      <c r="D65" s="185"/>
      <c r="E65" s="185"/>
      <c r="F65" s="185"/>
      <c r="G65" s="185"/>
      <c r="H65" s="40">
        <f>SUM(H55:H64)</f>
        <v>0</v>
      </c>
      <c r="I65" s="26">
        <f>H65</f>
        <v>0</v>
      </c>
      <c r="J65" s="26"/>
      <c r="K65" s="41"/>
    </row>
    <row r="66" spans="3:11" ht="15" customHeight="1">
      <c r="C66" s="178"/>
      <c r="D66" s="178"/>
      <c r="E66" s="44"/>
      <c r="F66" s="178"/>
      <c r="G66" s="178"/>
      <c r="H66" s="178"/>
    </row>
    <row r="67" spans="3:11" ht="14.5">
      <c r="C67" s="178"/>
      <c r="D67" s="178"/>
      <c r="E67" s="44"/>
      <c r="F67" s="178"/>
      <c r="G67" s="178"/>
      <c r="H67" s="178"/>
    </row>
    <row r="68" spans="3:11" ht="15" thickBot="1">
      <c r="C68" s="45"/>
      <c r="E68" s="46"/>
      <c r="F68" s="47"/>
      <c r="G68" s="48"/>
      <c r="H68" s="49"/>
    </row>
    <row r="69" spans="3:11" ht="21.4" customHeight="1" thickBot="1">
      <c r="C69" s="180" t="s">
        <v>27</v>
      </c>
      <c r="D69" s="181"/>
      <c r="E69" s="181"/>
      <c r="F69" s="181"/>
      <c r="G69" s="182"/>
      <c r="H69" s="50">
        <f>SUM(I:I)</f>
        <v>0</v>
      </c>
    </row>
    <row r="70" spans="3:11" ht="14.5">
      <c r="C70" s="45"/>
      <c r="E70" s="46"/>
      <c r="F70" s="47"/>
      <c r="G70" s="48"/>
      <c r="H70" s="49"/>
    </row>
    <row r="71" spans="3:11" ht="15" customHeight="1">
      <c r="C71" s="45"/>
      <c r="E71" s="46"/>
      <c r="F71" s="47"/>
      <c r="G71" s="48"/>
      <c r="H71" s="49"/>
    </row>
    <row r="72" spans="3:11" ht="14.5">
      <c r="C72" s="45"/>
      <c r="E72" s="46"/>
      <c r="F72" s="47"/>
      <c r="G72" s="48"/>
      <c r="H72" s="49"/>
    </row>
    <row r="73" spans="3:11" ht="14.5">
      <c r="C73" s="45"/>
      <c r="E73" s="46"/>
      <c r="F73" s="47"/>
      <c r="G73" s="48"/>
      <c r="H73" s="49"/>
    </row>
    <row r="74" spans="3:11" ht="14.5">
      <c r="C74" s="45"/>
      <c r="E74" s="46"/>
      <c r="F74" s="47"/>
      <c r="G74" s="48"/>
      <c r="H74" s="49"/>
    </row>
    <row r="75" spans="3:11" ht="14.5">
      <c r="C75" s="45"/>
      <c r="E75" s="46"/>
      <c r="F75" s="47"/>
      <c r="G75" s="48"/>
      <c r="H75" s="49"/>
    </row>
    <row r="76" spans="3:11" ht="14.5">
      <c r="C76" s="45"/>
      <c r="D76" s="51"/>
      <c r="E76" s="46"/>
      <c r="F76" s="47"/>
      <c r="G76" s="52"/>
      <c r="H76" s="49"/>
    </row>
    <row r="77" spans="3:11" ht="14.5">
      <c r="C77" s="45"/>
      <c r="D77" s="51"/>
      <c r="E77" s="46"/>
      <c r="F77" s="47"/>
      <c r="G77" s="53"/>
      <c r="H77" s="49"/>
    </row>
    <row r="78" spans="3:11" ht="14.25" customHeight="1">
      <c r="C78" s="45"/>
      <c r="D78" s="51"/>
      <c r="E78" s="46"/>
      <c r="F78" s="47"/>
      <c r="G78" s="53"/>
      <c r="H78" s="49"/>
    </row>
    <row r="79" spans="3:11" ht="14.5">
      <c r="C79" s="45"/>
      <c r="D79" s="51"/>
      <c r="E79" s="46"/>
      <c r="F79" s="47"/>
      <c r="G79" s="53"/>
      <c r="H79" s="49"/>
    </row>
    <row r="80" spans="3:11" ht="14.5">
      <c r="C80" s="45"/>
      <c r="D80" s="51"/>
      <c r="E80" s="46"/>
      <c r="F80" s="47"/>
      <c r="G80" s="53"/>
      <c r="H80" s="49"/>
    </row>
    <row r="81" spans="3:8" ht="14.5">
      <c r="C81" s="45"/>
      <c r="D81" s="51"/>
      <c r="E81" s="46"/>
      <c r="F81" s="47"/>
      <c r="G81" s="53"/>
      <c r="H81" s="49"/>
    </row>
    <row r="82" spans="3:8" ht="14.5">
      <c r="C82" s="45"/>
      <c r="D82" s="51"/>
      <c r="E82" s="46"/>
      <c r="F82" s="51"/>
      <c r="G82" s="53"/>
      <c r="H82" s="49"/>
    </row>
    <row r="83" spans="3:8" ht="14.5">
      <c r="C83" s="179"/>
      <c r="D83" s="179"/>
      <c r="E83" s="179"/>
      <c r="F83" s="179"/>
      <c r="G83" s="179"/>
      <c r="H83" s="49"/>
    </row>
    <row r="84" spans="3:8" ht="6" customHeight="1"/>
    <row r="87" spans="3:8" ht="18" customHeight="1">
      <c r="C87" s="183"/>
      <c r="D87" s="183"/>
      <c r="E87" s="183"/>
      <c r="F87" s="183"/>
      <c r="G87" s="183"/>
      <c r="H87" s="183"/>
    </row>
    <row r="88" spans="3:8" ht="15" customHeight="1">
      <c r="C88" s="178"/>
      <c r="D88" s="178"/>
      <c r="E88" s="44"/>
      <c r="F88" s="178"/>
      <c r="G88" s="178"/>
      <c r="H88" s="178"/>
    </row>
    <row r="89" spans="3:8" ht="14.5">
      <c r="C89" s="178"/>
      <c r="D89" s="178"/>
      <c r="E89" s="44"/>
      <c r="F89" s="178"/>
      <c r="G89" s="178"/>
      <c r="H89" s="178"/>
    </row>
    <row r="90" spans="3:8" ht="14.5">
      <c r="C90" s="45"/>
      <c r="E90" s="46"/>
      <c r="F90" s="47"/>
      <c r="G90" s="48"/>
      <c r="H90" s="49"/>
    </row>
    <row r="91" spans="3:8" ht="14.5">
      <c r="C91" s="45"/>
      <c r="D91" s="51"/>
      <c r="E91" s="46"/>
      <c r="F91" s="47"/>
      <c r="G91" s="52"/>
      <c r="H91" s="49"/>
    </row>
    <row r="92" spans="3:8" ht="15" customHeight="1">
      <c r="C92" s="45"/>
      <c r="D92" s="51"/>
      <c r="E92" s="46"/>
      <c r="F92" s="47"/>
      <c r="G92" s="53"/>
      <c r="H92" s="49"/>
    </row>
    <row r="93" spans="3:8" ht="14.5">
      <c r="C93" s="45"/>
      <c r="D93" s="51"/>
      <c r="E93" s="46"/>
      <c r="F93" s="47"/>
      <c r="G93" s="53"/>
      <c r="H93" s="49"/>
    </row>
    <row r="94" spans="3:8" ht="14.5">
      <c r="C94" s="45"/>
      <c r="D94" s="51"/>
      <c r="E94" s="46"/>
      <c r="F94" s="47"/>
      <c r="G94" s="53"/>
      <c r="H94" s="49"/>
    </row>
    <row r="95" spans="3:8" ht="14.5">
      <c r="C95" s="45"/>
      <c r="E95" s="46"/>
      <c r="F95" s="47"/>
      <c r="G95" s="48"/>
      <c r="H95" s="49"/>
    </row>
    <row r="96" spans="3:8" ht="14.5">
      <c r="C96" s="45"/>
      <c r="D96" s="51"/>
      <c r="E96" s="46"/>
      <c r="F96" s="47"/>
      <c r="G96" s="53"/>
      <c r="H96" s="49"/>
    </row>
    <row r="97" spans="3:8" ht="14.5">
      <c r="C97" s="45"/>
      <c r="E97" s="46"/>
      <c r="F97" s="47"/>
      <c r="G97" s="48"/>
      <c r="H97" s="49"/>
    </row>
    <row r="98" spans="3:8" ht="14.5">
      <c r="C98" s="45"/>
      <c r="D98" s="51"/>
      <c r="E98" s="46"/>
      <c r="F98" s="47"/>
      <c r="G98" s="53"/>
      <c r="H98" s="49"/>
    </row>
    <row r="99" spans="3:8" ht="14.5">
      <c r="C99" s="45"/>
      <c r="D99" s="51"/>
      <c r="E99" s="46"/>
      <c r="F99" s="47"/>
      <c r="G99" s="53"/>
      <c r="H99" s="49"/>
    </row>
    <row r="100" spans="3:8" ht="14.25" customHeight="1">
      <c r="C100" s="45"/>
      <c r="D100" s="51"/>
      <c r="E100" s="46"/>
      <c r="F100" s="51"/>
      <c r="G100" s="53"/>
      <c r="H100" s="49"/>
    </row>
    <row r="101" spans="3:8" ht="14.5">
      <c r="C101" s="45"/>
      <c r="D101" s="51"/>
      <c r="E101" s="46"/>
      <c r="F101" s="54"/>
      <c r="G101" s="53"/>
      <c r="H101" s="49"/>
    </row>
    <row r="102" spans="3:8" ht="14.5">
      <c r="C102" s="45"/>
      <c r="D102" s="51"/>
      <c r="E102" s="46"/>
      <c r="F102" s="54"/>
      <c r="G102" s="53"/>
      <c r="H102" s="49"/>
    </row>
    <row r="103" spans="3:8" ht="14.5">
      <c r="C103" s="45"/>
      <c r="D103" s="51"/>
      <c r="E103" s="46"/>
      <c r="F103" s="54"/>
      <c r="G103" s="53"/>
      <c r="H103" s="49"/>
    </row>
    <row r="104" spans="3:8" ht="14.5">
      <c r="C104" s="179"/>
      <c r="D104" s="179"/>
      <c r="E104" s="179"/>
      <c r="F104" s="179"/>
      <c r="G104" s="179"/>
      <c r="H104" s="49"/>
    </row>
    <row r="105" spans="3:8" ht="6" customHeight="1"/>
    <row r="107" spans="3:8">
      <c r="G107" s="55"/>
      <c r="H107" s="56"/>
    </row>
  </sheetData>
  <mergeCells count="47">
    <mergeCell ref="C2:H5"/>
    <mergeCell ref="C7:H7"/>
    <mergeCell ref="C8:C9"/>
    <mergeCell ref="D8:D9"/>
    <mergeCell ref="E8:E9"/>
    <mergeCell ref="F8:F9"/>
    <mergeCell ref="G8:G9"/>
    <mergeCell ref="H8:H9"/>
    <mergeCell ref="C20:G20"/>
    <mergeCell ref="C22:H22"/>
    <mergeCell ref="C23:C24"/>
    <mergeCell ref="D23:D24"/>
    <mergeCell ref="E23:E24"/>
    <mergeCell ref="F23:F24"/>
    <mergeCell ref="G23:G24"/>
    <mergeCell ref="H23:H24"/>
    <mergeCell ref="C35:G35"/>
    <mergeCell ref="C37:H37"/>
    <mergeCell ref="C38:C39"/>
    <mergeCell ref="D38:D39"/>
    <mergeCell ref="E38:E39"/>
    <mergeCell ref="F38:F39"/>
    <mergeCell ref="G38:G39"/>
    <mergeCell ref="H38:H39"/>
    <mergeCell ref="C50:G50"/>
    <mergeCell ref="C52:H52"/>
    <mergeCell ref="C53:C54"/>
    <mergeCell ref="D53:D54"/>
    <mergeCell ref="E53:E54"/>
    <mergeCell ref="F53:F54"/>
    <mergeCell ref="G53:G54"/>
    <mergeCell ref="H53:H54"/>
    <mergeCell ref="C65:G65"/>
    <mergeCell ref="C66:C67"/>
    <mergeCell ref="D66:D67"/>
    <mergeCell ref="F66:F67"/>
    <mergeCell ref="G66:G67"/>
    <mergeCell ref="H88:H89"/>
    <mergeCell ref="C104:G104"/>
    <mergeCell ref="H66:H67"/>
    <mergeCell ref="C69:G69"/>
    <mergeCell ref="C83:G83"/>
    <mergeCell ref="C87:H87"/>
    <mergeCell ref="C88:C89"/>
    <mergeCell ref="D88:D89"/>
    <mergeCell ref="F88:F89"/>
    <mergeCell ref="G88:G89"/>
  </mergeCells>
  <pageMargins left="0.7" right="0.7" top="0.75" bottom="0.75" header="0.3" footer="0.3"/>
  <pageSetup scale="90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C1AF-583B-459A-AC95-77BC5E4F0168}">
  <sheetPr codeName="Sheet6"/>
  <dimension ref="C2:AC109"/>
  <sheetViews>
    <sheetView showGridLines="0" zoomScale="70" zoomScaleNormal="70" workbookViewId="0">
      <selection activeCell="G57" sqref="G57:G58"/>
    </sheetView>
  </sheetViews>
  <sheetFormatPr defaultColWidth="9.26953125" defaultRowHeight="13"/>
  <cols>
    <col min="1" max="2" width="7.7265625" style="20" customWidth="1"/>
    <col min="3" max="3" width="5.26953125" style="20" customWidth="1"/>
    <col min="4" max="4" width="41.7265625" style="20" customWidth="1"/>
    <col min="5" max="5" width="11.453125" style="20" bestFit="1" customWidth="1"/>
    <col min="6" max="6" width="8.54296875" style="20" customWidth="1"/>
    <col min="7" max="7" width="20.26953125" style="20" customWidth="1"/>
    <col min="8" max="8" width="16.7265625" style="20" bestFit="1" customWidth="1"/>
    <col min="9" max="9" width="1.453125" style="20" customWidth="1"/>
    <col min="10" max="10" width="9.26953125" style="20"/>
    <col min="11" max="11" width="11.7265625" style="20" bestFit="1" customWidth="1"/>
    <col min="12" max="12" width="9.26953125" style="20"/>
    <col min="13" max="13" width="13.1796875" style="20" bestFit="1" customWidth="1"/>
    <col min="14" max="14" width="9.26953125" style="20"/>
    <col min="15" max="15" width="11" style="20" bestFit="1" customWidth="1"/>
    <col min="16" max="16" width="9.26953125" style="20"/>
    <col min="17" max="17" width="10.26953125" style="20" customWidth="1"/>
    <col min="18" max="18" width="9.26953125" style="20"/>
    <col min="19" max="19" width="17.26953125" style="20" customWidth="1"/>
    <col min="20" max="22" width="9.26953125" style="20"/>
    <col min="23" max="23" width="10.26953125" style="20" customWidth="1"/>
    <col min="24" max="16384" width="9.26953125" style="20"/>
  </cols>
  <sheetData>
    <row r="2" spans="3:29">
      <c r="C2" s="195" t="s">
        <v>74</v>
      </c>
      <c r="D2" s="196"/>
      <c r="E2" s="196"/>
      <c r="F2" s="196"/>
      <c r="G2" s="196"/>
      <c r="H2" s="196"/>
    </row>
    <row r="3" spans="3:29">
      <c r="C3" s="196"/>
      <c r="D3" s="196"/>
      <c r="E3" s="196"/>
      <c r="F3" s="196"/>
      <c r="G3" s="196"/>
      <c r="H3" s="196"/>
    </row>
    <row r="4" spans="3:29">
      <c r="C4" s="196"/>
      <c r="D4" s="196"/>
      <c r="E4" s="196"/>
      <c r="F4" s="196"/>
      <c r="G4" s="196"/>
      <c r="H4" s="196"/>
    </row>
    <row r="5" spans="3:29">
      <c r="C5" s="196"/>
      <c r="D5" s="196"/>
      <c r="E5" s="196"/>
      <c r="F5" s="196"/>
      <c r="G5" s="196"/>
      <c r="H5" s="196"/>
    </row>
    <row r="6" spans="3:29" ht="13.5" thickBot="1"/>
    <row r="7" spans="3:29" ht="18" customHeight="1" thickBot="1">
      <c r="C7" s="186" t="s">
        <v>87</v>
      </c>
      <c r="D7" s="187"/>
      <c r="E7" s="187"/>
      <c r="F7" s="187"/>
      <c r="G7" s="187"/>
      <c r="H7" s="188"/>
      <c r="L7" s="57" t="s">
        <v>32</v>
      </c>
      <c r="M7" s="57"/>
      <c r="N7" s="57"/>
      <c r="O7" s="57"/>
      <c r="P7" s="57"/>
      <c r="Q7" s="57"/>
      <c r="R7" s="57" t="s">
        <v>33</v>
      </c>
      <c r="S7" s="57"/>
      <c r="T7" s="57"/>
      <c r="U7" s="57"/>
      <c r="V7" s="57"/>
      <c r="W7" s="57"/>
      <c r="X7" s="57" t="s">
        <v>34</v>
      </c>
      <c r="Y7" s="57"/>
      <c r="Z7" s="57"/>
      <c r="AA7" s="57"/>
      <c r="AB7" s="57"/>
      <c r="AC7" s="57"/>
    </row>
    <row r="8" spans="3:29" ht="15" customHeight="1">
      <c r="C8" s="189" t="s">
        <v>20</v>
      </c>
      <c r="D8" s="191" t="s">
        <v>21</v>
      </c>
      <c r="E8" s="191" t="s">
        <v>22</v>
      </c>
      <c r="F8" s="191" t="s">
        <v>23</v>
      </c>
      <c r="G8" s="191" t="s">
        <v>24</v>
      </c>
      <c r="H8" s="193" t="s">
        <v>25</v>
      </c>
      <c r="L8" s="58" t="s">
        <v>20</v>
      </c>
      <c r="M8" s="57" t="s">
        <v>35</v>
      </c>
      <c r="N8" s="57" t="s">
        <v>36</v>
      </c>
      <c r="O8" s="57" t="s">
        <v>37</v>
      </c>
      <c r="P8" s="57" t="s">
        <v>38</v>
      </c>
      <c r="Q8" s="57" t="s">
        <v>13</v>
      </c>
      <c r="R8" s="57" t="s">
        <v>20</v>
      </c>
      <c r="S8" s="57" t="s">
        <v>35</v>
      </c>
      <c r="T8" s="57" t="s">
        <v>36</v>
      </c>
      <c r="U8" s="57" t="s">
        <v>37</v>
      </c>
      <c r="V8" s="57" t="s">
        <v>38</v>
      </c>
      <c r="W8" s="57" t="s">
        <v>13</v>
      </c>
      <c r="X8" s="57" t="s">
        <v>20</v>
      </c>
      <c r="Y8" s="57" t="s">
        <v>35</v>
      </c>
      <c r="Z8" s="57" t="s">
        <v>36</v>
      </c>
      <c r="AA8" s="57" t="s">
        <v>37</v>
      </c>
      <c r="AB8" s="57" t="s">
        <v>38</v>
      </c>
      <c r="AC8" s="57" t="s">
        <v>13</v>
      </c>
    </row>
    <row r="9" spans="3:29" ht="13.9" customHeight="1" thickBot="1">
      <c r="C9" s="190"/>
      <c r="D9" s="192"/>
      <c r="E9" s="192"/>
      <c r="F9" s="192"/>
      <c r="G9" s="192"/>
      <c r="H9" s="194"/>
      <c r="L9" s="59">
        <v>1</v>
      </c>
      <c r="M9" s="60" t="s">
        <v>39</v>
      </c>
      <c r="N9" s="61">
        <v>7</v>
      </c>
      <c r="O9" s="61">
        <v>3</v>
      </c>
      <c r="P9" s="62">
        <v>20000</v>
      </c>
      <c r="Q9" s="62">
        <f>N9*O9*P9</f>
        <v>420000</v>
      </c>
      <c r="R9" s="61">
        <v>1</v>
      </c>
      <c r="S9" s="60" t="s">
        <v>40</v>
      </c>
      <c r="T9" s="62">
        <v>7</v>
      </c>
      <c r="U9" s="63">
        <v>3</v>
      </c>
      <c r="V9" s="63">
        <v>20000</v>
      </c>
      <c r="W9" s="64">
        <f>T9*U9*V9</f>
        <v>420000</v>
      </c>
      <c r="X9" s="61"/>
      <c r="Y9" s="65"/>
      <c r="Z9" s="62"/>
      <c r="AA9" s="60"/>
      <c r="AB9" s="63"/>
      <c r="AC9" s="64">
        <f>Z9*AA9*AB9</f>
        <v>0</v>
      </c>
    </row>
    <row r="10" spans="3:29" ht="14.5">
      <c r="C10" s="21">
        <v>1</v>
      </c>
      <c r="D10" s="22" t="s">
        <v>41</v>
      </c>
      <c r="E10" s="23"/>
      <c r="F10" s="23" t="s">
        <v>57</v>
      </c>
      <c r="G10" s="24"/>
      <c r="H10" s="25">
        <f t="shared" ref="H10:H19" si="0">G10*E10</f>
        <v>0</v>
      </c>
      <c r="J10" s="26"/>
      <c r="L10" s="59">
        <f>+L9+1</f>
        <v>2</v>
      </c>
      <c r="M10" s="60" t="s">
        <v>42</v>
      </c>
      <c r="N10" s="61">
        <v>7</v>
      </c>
      <c r="O10" s="61">
        <v>3</v>
      </c>
      <c r="P10" s="62">
        <v>20000</v>
      </c>
      <c r="Q10" s="62">
        <f t="shared" ref="Q10:Q27" si="1">N10*O10*P10</f>
        <v>420000</v>
      </c>
      <c r="R10" s="61">
        <f t="shared" ref="R10:R11" si="2">1+R9</f>
        <v>2</v>
      </c>
      <c r="S10" s="60" t="s">
        <v>43</v>
      </c>
      <c r="T10" s="62">
        <v>7</v>
      </c>
      <c r="U10" s="63">
        <v>1</v>
      </c>
      <c r="V10" s="63">
        <v>20000</v>
      </c>
      <c r="W10" s="64">
        <f t="shared" ref="W10:W11" si="3">T10*U10*V10</f>
        <v>140000</v>
      </c>
      <c r="X10" s="61"/>
      <c r="Y10" s="65"/>
      <c r="Z10" s="62"/>
      <c r="AA10" s="60"/>
      <c r="AB10" s="63"/>
      <c r="AC10" s="64"/>
    </row>
    <row r="11" spans="3:29" ht="14.5">
      <c r="C11" s="21">
        <f>1+C10</f>
        <v>2</v>
      </c>
      <c r="D11" s="27" t="s">
        <v>44</v>
      </c>
      <c r="E11" s="23"/>
      <c r="F11" s="23" t="s">
        <v>57</v>
      </c>
      <c r="G11" s="28"/>
      <c r="H11" s="25">
        <f t="shared" si="0"/>
        <v>0</v>
      </c>
      <c r="J11" s="26"/>
      <c r="L11" s="59">
        <f>+L10+1</f>
        <v>3</v>
      </c>
      <c r="M11" s="60" t="s">
        <v>45</v>
      </c>
      <c r="N11" s="61">
        <v>7</v>
      </c>
      <c r="O11" s="61">
        <v>3</v>
      </c>
      <c r="P11" s="62">
        <v>20000</v>
      </c>
      <c r="Q11" s="62">
        <f t="shared" si="1"/>
        <v>420000</v>
      </c>
      <c r="R11" s="61">
        <f t="shared" si="2"/>
        <v>3</v>
      </c>
      <c r="S11" s="65" t="s">
        <v>46</v>
      </c>
      <c r="T11" s="62">
        <v>7</v>
      </c>
      <c r="U11" s="63">
        <v>1</v>
      </c>
      <c r="V11" s="63">
        <v>20000</v>
      </c>
      <c r="W11" s="64">
        <f t="shared" si="3"/>
        <v>140000</v>
      </c>
      <c r="X11" s="61"/>
      <c r="Y11" s="60"/>
      <c r="Z11" s="62"/>
      <c r="AA11" s="63"/>
      <c r="AB11" s="63"/>
      <c r="AC11" s="64"/>
    </row>
    <row r="12" spans="3:29" ht="14.5">
      <c r="C12" s="21">
        <f t="shared" ref="C12:C18" si="4">1+C11</f>
        <v>3</v>
      </c>
      <c r="D12" s="27"/>
      <c r="E12" s="23"/>
      <c r="F12" s="23"/>
      <c r="G12" s="28"/>
      <c r="H12" s="25">
        <f t="shared" si="0"/>
        <v>0</v>
      </c>
      <c r="J12" s="26"/>
      <c r="L12" s="59">
        <f t="shared" ref="L12:L15" si="5">1+L11</f>
        <v>4</v>
      </c>
      <c r="M12" s="60" t="s">
        <v>47</v>
      </c>
      <c r="N12" s="61">
        <v>7</v>
      </c>
      <c r="O12" s="61">
        <v>3</v>
      </c>
      <c r="P12" s="62">
        <v>20000</v>
      </c>
      <c r="Q12" s="62">
        <f t="shared" si="1"/>
        <v>420000</v>
      </c>
      <c r="R12" s="61"/>
      <c r="S12" s="65"/>
      <c r="T12" s="62"/>
      <c r="U12" s="63"/>
      <c r="V12" s="63"/>
      <c r="W12" s="64"/>
      <c r="X12" s="61"/>
      <c r="Y12" s="60"/>
      <c r="Z12" s="62"/>
      <c r="AA12" s="63"/>
      <c r="AB12" s="63"/>
      <c r="AC12" s="64"/>
    </row>
    <row r="13" spans="3:29" ht="14.5">
      <c r="C13" s="21">
        <f t="shared" si="4"/>
        <v>4</v>
      </c>
      <c r="D13" s="27"/>
      <c r="E13" s="23"/>
      <c r="F13" s="23"/>
      <c r="G13" s="28"/>
      <c r="H13" s="25">
        <f>G13*E13</f>
        <v>0</v>
      </c>
      <c r="J13" s="26"/>
      <c r="L13" s="59">
        <f t="shared" si="5"/>
        <v>5</v>
      </c>
      <c r="M13" s="60" t="s">
        <v>48</v>
      </c>
      <c r="N13" s="61">
        <v>7</v>
      </c>
      <c r="O13" s="61">
        <v>3</v>
      </c>
      <c r="P13" s="62">
        <v>20000</v>
      </c>
      <c r="Q13" s="62">
        <f t="shared" si="1"/>
        <v>420000</v>
      </c>
      <c r="R13" s="61"/>
      <c r="S13" s="60"/>
      <c r="T13" s="62"/>
      <c r="U13" s="63"/>
      <c r="V13" s="63"/>
      <c r="W13" s="64"/>
      <c r="X13" s="61"/>
      <c r="Y13" s="60"/>
      <c r="Z13" s="62"/>
      <c r="AA13" s="63"/>
      <c r="AB13" s="63"/>
      <c r="AC13" s="64"/>
    </row>
    <row r="14" spans="3:29" ht="14.5">
      <c r="C14" s="21">
        <f t="shared" si="4"/>
        <v>5</v>
      </c>
      <c r="D14" s="27"/>
      <c r="E14" s="23"/>
      <c r="F14" s="23"/>
      <c r="G14" s="24"/>
      <c r="H14" s="25">
        <f t="shared" si="0"/>
        <v>0</v>
      </c>
      <c r="J14" s="26"/>
      <c r="L14" s="59">
        <f t="shared" si="5"/>
        <v>6</v>
      </c>
      <c r="M14" s="60" t="s">
        <v>49</v>
      </c>
      <c r="N14" s="61">
        <v>7</v>
      </c>
      <c r="O14" s="61">
        <v>3</v>
      </c>
      <c r="P14" s="62">
        <v>20000</v>
      </c>
      <c r="Q14" s="62">
        <f t="shared" si="1"/>
        <v>420000</v>
      </c>
      <c r="R14" s="61"/>
      <c r="S14" s="60"/>
      <c r="T14" s="62"/>
      <c r="U14" s="63"/>
      <c r="V14" s="63"/>
      <c r="W14" s="64"/>
      <c r="X14" s="61"/>
      <c r="Y14" s="60"/>
      <c r="Z14" s="62"/>
      <c r="AA14" s="63"/>
      <c r="AB14" s="63"/>
      <c r="AC14" s="64"/>
    </row>
    <row r="15" spans="3:29" ht="14.5">
      <c r="C15" s="21">
        <f t="shared" si="4"/>
        <v>6</v>
      </c>
      <c r="D15" s="27"/>
      <c r="E15" s="23"/>
      <c r="F15" s="27"/>
      <c r="G15" s="28"/>
      <c r="H15" s="25">
        <f t="shared" si="0"/>
        <v>0</v>
      </c>
      <c r="J15" s="26"/>
      <c r="L15" s="59">
        <f t="shared" si="5"/>
        <v>7</v>
      </c>
      <c r="M15" s="71" t="s">
        <v>50</v>
      </c>
      <c r="N15" s="61">
        <v>7</v>
      </c>
      <c r="O15" s="61">
        <v>3</v>
      </c>
      <c r="P15" s="62">
        <v>20000</v>
      </c>
      <c r="Q15" s="62">
        <f t="shared" si="1"/>
        <v>420000</v>
      </c>
      <c r="R15" s="61"/>
      <c r="S15" s="60"/>
      <c r="T15" s="62"/>
      <c r="U15" s="63"/>
      <c r="V15" s="63"/>
      <c r="W15" s="64"/>
      <c r="X15" s="61"/>
      <c r="Y15" s="65"/>
      <c r="Z15" s="62"/>
      <c r="AA15" s="60"/>
      <c r="AB15" s="63"/>
      <c r="AC15" s="64"/>
    </row>
    <row r="16" spans="3:29" ht="14.5">
      <c r="C16" s="21">
        <f t="shared" si="4"/>
        <v>7</v>
      </c>
      <c r="D16" s="27"/>
      <c r="E16" s="23"/>
      <c r="F16" s="27"/>
      <c r="G16" s="28"/>
      <c r="H16" s="25">
        <f t="shared" si="0"/>
        <v>0</v>
      </c>
      <c r="J16" s="26"/>
      <c r="L16" s="59"/>
      <c r="M16" s="60"/>
      <c r="N16" s="61"/>
      <c r="O16" s="61"/>
      <c r="P16" s="62"/>
      <c r="Q16" s="62">
        <f t="shared" si="1"/>
        <v>0</v>
      </c>
      <c r="R16" s="61"/>
      <c r="S16" s="65"/>
      <c r="T16" s="62"/>
      <c r="U16" s="63"/>
      <c r="V16" s="63"/>
      <c r="W16" s="64"/>
      <c r="X16" s="61"/>
      <c r="Y16" s="65"/>
      <c r="Z16" s="62"/>
      <c r="AA16" s="60"/>
      <c r="AB16" s="63"/>
      <c r="AC16" s="64"/>
    </row>
    <row r="17" spans="3:29" ht="14.5">
      <c r="C17" s="21">
        <f t="shared" si="4"/>
        <v>8</v>
      </c>
      <c r="D17" s="27"/>
      <c r="E17" s="23"/>
      <c r="F17" s="27"/>
      <c r="G17" s="28"/>
      <c r="H17" s="25">
        <f t="shared" si="0"/>
        <v>0</v>
      </c>
      <c r="J17" s="26"/>
      <c r="L17" s="59"/>
      <c r="M17" s="60"/>
      <c r="N17" s="61"/>
      <c r="O17" s="61"/>
      <c r="P17" s="62"/>
      <c r="Q17" s="62">
        <f t="shared" si="1"/>
        <v>0</v>
      </c>
      <c r="R17" s="61"/>
      <c r="S17" s="60"/>
      <c r="T17" s="62"/>
      <c r="U17" s="63"/>
      <c r="V17" s="63"/>
      <c r="W17" s="64"/>
      <c r="X17" s="60"/>
      <c r="Y17" s="60"/>
      <c r="Z17" s="60"/>
      <c r="AA17" s="60"/>
      <c r="AB17" s="60"/>
      <c r="AC17" s="60"/>
    </row>
    <row r="18" spans="3:29" ht="14.5">
      <c r="C18" s="21">
        <f t="shared" si="4"/>
        <v>9</v>
      </c>
      <c r="D18" s="30"/>
      <c r="E18" s="31"/>
      <c r="F18" s="30"/>
      <c r="G18" s="32"/>
      <c r="H18" s="33">
        <f t="shared" si="0"/>
        <v>0</v>
      </c>
      <c r="J18" s="26"/>
      <c r="L18" s="59"/>
      <c r="M18" s="60"/>
      <c r="N18" s="61"/>
      <c r="O18" s="61"/>
      <c r="P18" s="62"/>
      <c r="Q18" s="62">
        <f t="shared" si="1"/>
        <v>0</v>
      </c>
      <c r="R18" s="61"/>
      <c r="S18" s="60"/>
      <c r="T18" s="62"/>
      <c r="U18" s="63"/>
      <c r="V18" s="63"/>
      <c r="W18" s="64"/>
      <c r="X18" s="60"/>
      <c r="Y18" s="60"/>
      <c r="Z18" s="60"/>
      <c r="AA18" s="60"/>
      <c r="AB18" s="60"/>
      <c r="AC18" s="60"/>
    </row>
    <row r="19" spans="3:29" ht="15" thickBot="1">
      <c r="C19" s="34">
        <f>1+C18</f>
        <v>10</v>
      </c>
      <c r="D19" s="35"/>
      <c r="E19" s="36"/>
      <c r="F19" s="37"/>
      <c r="G19" s="38"/>
      <c r="H19" s="39">
        <f t="shared" si="0"/>
        <v>0</v>
      </c>
      <c r="J19" s="26"/>
      <c r="L19" s="59"/>
      <c r="M19" s="60"/>
      <c r="N19" s="61"/>
      <c r="O19" s="61"/>
      <c r="P19" s="62"/>
      <c r="Q19" s="62">
        <f t="shared" si="1"/>
        <v>0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</row>
    <row r="20" spans="3:29" ht="16.5" thickBot="1">
      <c r="C20" s="184" t="s">
        <v>13</v>
      </c>
      <c r="D20" s="185"/>
      <c r="E20" s="185"/>
      <c r="F20" s="185"/>
      <c r="G20" s="185"/>
      <c r="H20" s="40">
        <f>SUM(H10:H19)</f>
        <v>0</v>
      </c>
      <c r="I20" s="26">
        <f>H20</f>
        <v>0</v>
      </c>
      <c r="J20" s="26"/>
      <c r="K20" s="41"/>
      <c r="L20" s="59"/>
      <c r="M20" s="60"/>
      <c r="N20" s="61"/>
      <c r="O20" s="61"/>
      <c r="P20" s="62"/>
      <c r="Q20" s="62">
        <f t="shared" si="1"/>
        <v>0</v>
      </c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</row>
    <row r="21" spans="3:29" ht="15" thickBot="1">
      <c r="L21" s="59"/>
      <c r="M21" s="60"/>
      <c r="N21" s="61"/>
      <c r="O21" s="61"/>
      <c r="P21" s="62"/>
      <c r="Q21" s="62">
        <f t="shared" si="1"/>
        <v>0</v>
      </c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</row>
    <row r="22" spans="3:29" ht="18" customHeight="1" thickBot="1">
      <c r="C22" s="186" t="s">
        <v>88</v>
      </c>
      <c r="D22" s="187"/>
      <c r="E22" s="187"/>
      <c r="F22" s="187"/>
      <c r="G22" s="187"/>
      <c r="H22" s="188"/>
      <c r="L22" s="59"/>
      <c r="M22" s="60"/>
      <c r="N22" s="61"/>
      <c r="O22" s="61"/>
      <c r="P22" s="62"/>
      <c r="Q22" s="62">
        <f t="shared" si="1"/>
        <v>0</v>
      </c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</row>
    <row r="23" spans="3:29" ht="15" customHeight="1">
      <c r="C23" s="189" t="s">
        <v>20</v>
      </c>
      <c r="D23" s="191" t="s">
        <v>21</v>
      </c>
      <c r="E23" s="191" t="s">
        <v>22</v>
      </c>
      <c r="F23" s="191" t="s">
        <v>23</v>
      </c>
      <c r="G23" s="191" t="s">
        <v>24</v>
      </c>
      <c r="H23" s="193" t="s">
        <v>25</v>
      </c>
      <c r="L23" s="59"/>
      <c r="M23" s="60"/>
      <c r="N23" s="61"/>
      <c r="O23" s="61"/>
      <c r="P23" s="62"/>
      <c r="Q23" s="62">
        <f t="shared" si="1"/>
        <v>0</v>
      </c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</row>
    <row r="24" spans="3:29" ht="15" customHeight="1">
      <c r="C24" s="207"/>
      <c r="D24" s="208"/>
      <c r="E24" s="208"/>
      <c r="F24" s="208"/>
      <c r="G24" s="208"/>
      <c r="H24" s="209"/>
      <c r="L24" s="59"/>
      <c r="M24" s="71"/>
      <c r="N24" s="61"/>
      <c r="O24" s="61"/>
      <c r="P24" s="62"/>
      <c r="Q24" s="62">
        <f t="shared" si="1"/>
        <v>0</v>
      </c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</row>
    <row r="25" spans="3:29" ht="13.9" customHeight="1" thickBot="1">
      <c r="C25" s="190"/>
      <c r="D25" s="192"/>
      <c r="E25" s="192"/>
      <c r="F25" s="192"/>
      <c r="G25" s="192"/>
      <c r="H25" s="194"/>
      <c r="L25" s="59"/>
      <c r="M25" s="71"/>
      <c r="N25" s="61"/>
      <c r="O25" s="61"/>
      <c r="P25" s="62"/>
      <c r="Q25" s="62">
        <f t="shared" si="1"/>
        <v>0</v>
      </c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</row>
    <row r="26" spans="3:29" ht="14.5">
      <c r="C26" s="21">
        <v>1</v>
      </c>
      <c r="D26" s="22" t="s">
        <v>41</v>
      </c>
      <c r="E26" s="23"/>
      <c r="F26" s="23" t="s">
        <v>57</v>
      </c>
      <c r="G26" s="24"/>
      <c r="H26" s="25">
        <f>G26*E26</f>
        <v>0</v>
      </c>
      <c r="J26" s="26">
        <f>E26/15</f>
        <v>0</v>
      </c>
      <c r="L26" s="59"/>
      <c r="M26" s="71"/>
      <c r="N26" s="61"/>
      <c r="O26" s="61"/>
      <c r="P26" s="62"/>
      <c r="Q26" s="62">
        <f t="shared" si="1"/>
        <v>0</v>
      </c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</row>
    <row r="27" spans="3:29" ht="14.5">
      <c r="C27" s="21">
        <f>1+C25</f>
        <v>1</v>
      </c>
      <c r="D27" s="27" t="s">
        <v>44</v>
      </c>
      <c r="E27" s="23"/>
      <c r="F27" s="23" t="s">
        <v>57</v>
      </c>
      <c r="G27" s="28"/>
      <c r="H27" s="25">
        <f>G27*E27</f>
        <v>0</v>
      </c>
      <c r="J27" s="26"/>
      <c r="L27" s="59"/>
      <c r="M27" s="72"/>
      <c r="N27" s="61"/>
      <c r="O27" s="61"/>
      <c r="P27" s="62"/>
      <c r="Q27" s="62">
        <f t="shared" si="1"/>
        <v>0</v>
      </c>
      <c r="R27" s="73"/>
      <c r="S27" s="74"/>
      <c r="T27" s="74"/>
      <c r="U27" s="74"/>
      <c r="V27" s="75"/>
      <c r="W27" s="76"/>
      <c r="X27" s="73"/>
      <c r="Y27" s="74"/>
      <c r="Z27" s="74"/>
      <c r="AA27" s="74"/>
      <c r="AB27" s="75"/>
      <c r="AC27" s="76"/>
    </row>
    <row r="28" spans="3:29" ht="15" thickBot="1">
      <c r="C28" s="21">
        <f t="shared" ref="C28:C35" si="6">1+C27</f>
        <v>2</v>
      </c>
      <c r="D28" s="27"/>
      <c r="E28" s="23"/>
      <c r="F28" s="23"/>
      <c r="G28" s="28"/>
      <c r="H28" s="25">
        <f>G28*E28</f>
        <v>0</v>
      </c>
      <c r="J28" s="26"/>
      <c r="L28" s="198" t="s">
        <v>13</v>
      </c>
      <c r="M28" s="199"/>
      <c r="N28" s="199"/>
      <c r="O28" s="199"/>
      <c r="P28" s="200"/>
      <c r="Q28" s="66">
        <f>SUM(Q9:Q27)</f>
        <v>2940000</v>
      </c>
      <c r="R28" s="198" t="s">
        <v>13</v>
      </c>
      <c r="S28" s="199"/>
      <c r="T28" s="199"/>
      <c r="U28" s="199"/>
      <c r="V28" s="200"/>
      <c r="W28" s="67">
        <f>SUM(W9:W23)</f>
        <v>700000</v>
      </c>
      <c r="X28" s="198" t="s">
        <v>13</v>
      </c>
      <c r="Y28" s="199"/>
      <c r="Z28" s="199"/>
      <c r="AA28" s="199"/>
      <c r="AB28" s="200"/>
      <c r="AC28" s="67">
        <f>SUM(AC9:AC23)</f>
        <v>0</v>
      </c>
    </row>
    <row r="29" spans="3:29" ht="19" thickBot="1">
      <c r="C29" s="21">
        <f t="shared" si="6"/>
        <v>3</v>
      </c>
      <c r="D29" s="27"/>
      <c r="E29" s="23"/>
      <c r="F29" s="23"/>
      <c r="G29" s="28"/>
      <c r="H29" s="25">
        <f>G29*E29</f>
        <v>0</v>
      </c>
      <c r="J29" s="26"/>
      <c r="L29" s="201" t="s">
        <v>51</v>
      </c>
      <c r="M29" s="202"/>
      <c r="N29" s="202"/>
      <c r="O29" s="202"/>
      <c r="P29" s="203"/>
      <c r="Q29" s="204">
        <f>Q28+W28+AC28</f>
        <v>3640000</v>
      </c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6"/>
    </row>
    <row r="30" spans="3:29" ht="14.5">
      <c r="C30" s="21">
        <f t="shared" si="6"/>
        <v>4</v>
      </c>
      <c r="D30" s="27"/>
      <c r="E30" s="23"/>
      <c r="F30" s="23"/>
      <c r="G30" s="28"/>
      <c r="H30" s="25">
        <f>G30*E30</f>
        <v>0</v>
      </c>
      <c r="J30" s="26"/>
    </row>
    <row r="31" spans="3:29" ht="14.5">
      <c r="C31" s="21">
        <f t="shared" si="6"/>
        <v>5</v>
      </c>
      <c r="D31" s="27"/>
      <c r="E31" s="23"/>
      <c r="F31" s="23"/>
      <c r="G31" s="24"/>
      <c r="H31" s="25">
        <f t="shared" ref="H31:H36" si="7">G31*E31</f>
        <v>0</v>
      </c>
      <c r="J31" s="26"/>
    </row>
    <row r="32" spans="3:29" ht="14.5">
      <c r="C32" s="21">
        <f t="shared" si="6"/>
        <v>6</v>
      </c>
      <c r="D32" s="27"/>
      <c r="E32" s="23"/>
      <c r="F32" s="27"/>
      <c r="G32" s="28"/>
      <c r="H32" s="25">
        <f t="shared" si="7"/>
        <v>0</v>
      </c>
      <c r="J32" s="26"/>
    </row>
    <row r="33" spans="3:15" ht="14.5">
      <c r="C33" s="21">
        <f t="shared" si="6"/>
        <v>7</v>
      </c>
      <c r="D33" s="27"/>
      <c r="E33" s="23"/>
      <c r="F33" s="27"/>
      <c r="G33" s="28"/>
      <c r="H33" s="25">
        <f t="shared" si="7"/>
        <v>0</v>
      </c>
      <c r="J33" s="26"/>
    </row>
    <row r="34" spans="3:15" ht="14.5">
      <c r="C34" s="21">
        <f t="shared" si="6"/>
        <v>8</v>
      </c>
      <c r="D34" s="27"/>
      <c r="E34" s="23"/>
      <c r="F34" s="27"/>
      <c r="G34" s="28"/>
      <c r="H34" s="25">
        <f t="shared" si="7"/>
        <v>0</v>
      </c>
      <c r="J34" s="26"/>
      <c r="L34" s="20">
        <f>7*3</f>
        <v>21</v>
      </c>
    </row>
    <row r="35" spans="3:15" ht="14.5">
      <c r="C35" s="21">
        <f t="shared" si="6"/>
        <v>9</v>
      </c>
      <c r="D35" s="30"/>
      <c r="E35" s="31"/>
      <c r="F35" s="30"/>
      <c r="G35" s="32"/>
      <c r="H35" s="33">
        <f t="shared" si="7"/>
        <v>0</v>
      </c>
      <c r="J35" s="26"/>
      <c r="L35" s="20">
        <f>L34*24</f>
        <v>504</v>
      </c>
    </row>
    <row r="36" spans="3:15" ht="15" thickBot="1">
      <c r="C36" s="34">
        <f>1+C35</f>
        <v>10</v>
      </c>
      <c r="D36" s="35"/>
      <c r="E36" s="36"/>
      <c r="F36" s="37"/>
      <c r="G36" s="38"/>
      <c r="H36" s="39">
        <f t="shared" si="7"/>
        <v>0</v>
      </c>
      <c r="J36" s="26"/>
    </row>
    <row r="37" spans="3:15" ht="16.5" thickBot="1">
      <c r="C37" s="184" t="s">
        <v>13</v>
      </c>
      <c r="D37" s="185"/>
      <c r="E37" s="185"/>
      <c r="F37" s="185"/>
      <c r="G37" s="185"/>
      <c r="H37" s="40">
        <f>SUM(H26:H36)</f>
        <v>0</v>
      </c>
      <c r="I37" s="26">
        <f>H37</f>
        <v>0</v>
      </c>
      <c r="J37" s="26"/>
      <c r="K37" s="41"/>
    </row>
    <row r="38" spans="3:15" ht="13.5" thickBot="1">
      <c r="H38" s="42"/>
      <c r="O38" s="77"/>
    </row>
    <row r="39" spans="3:15" ht="18" customHeight="1" thickBot="1">
      <c r="C39" s="186" t="s">
        <v>89</v>
      </c>
      <c r="D39" s="187"/>
      <c r="E39" s="187"/>
      <c r="F39" s="187"/>
      <c r="G39" s="187"/>
      <c r="H39" s="188"/>
      <c r="O39" s="78"/>
    </row>
    <row r="40" spans="3:15" ht="15" customHeight="1">
      <c r="C40" s="189" t="s">
        <v>20</v>
      </c>
      <c r="D40" s="191" t="s">
        <v>21</v>
      </c>
      <c r="E40" s="191" t="s">
        <v>22</v>
      </c>
      <c r="F40" s="191" t="s">
        <v>23</v>
      </c>
      <c r="G40" s="191" t="s">
        <v>24</v>
      </c>
      <c r="H40" s="193" t="s">
        <v>25</v>
      </c>
    </row>
    <row r="41" spans="3:15" ht="13.9" customHeight="1" thickBot="1">
      <c r="C41" s="190"/>
      <c r="D41" s="192"/>
      <c r="E41" s="192"/>
      <c r="F41" s="192"/>
      <c r="G41" s="192"/>
      <c r="H41" s="194"/>
    </row>
    <row r="42" spans="3:15" ht="14.5">
      <c r="C42" s="21">
        <v>1</v>
      </c>
      <c r="D42" s="22" t="s">
        <v>41</v>
      </c>
      <c r="E42" s="23"/>
      <c r="F42" s="23" t="s">
        <v>57</v>
      </c>
      <c r="G42" s="24"/>
      <c r="H42" s="25">
        <f>G42*E42</f>
        <v>0</v>
      </c>
      <c r="J42" s="26"/>
    </row>
    <row r="43" spans="3:15" ht="14.5">
      <c r="C43" s="21">
        <f>1+C42</f>
        <v>2</v>
      </c>
      <c r="D43" s="27" t="s">
        <v>44</v>
      </c>
      <c r="E43" s="23"/>
      <c r="F43" s="23" t="s">
        <v>57</v>
      </c>
      <c r="G43" s="28"/>
      <c r="H43" s="25">
        <f>G43*E43</f>
        <v>0</v>
      </c>
      <c r="J43" s="26"/>
    </row>
    <row r="44" spans="3:15" ht="14.5">
      <c r="C44" s="21">
        <f t="shared" ref="C44:C50" si="8">1+C43</f>
        <v>3</v>
      </c>
      <c r="D44" s="27"/>
      <c r="E44" s="23"/>
      <c r="F44" s="23"/>
      <c r="G44" s="28"/>
      <c r="H44" s="25">
        <f>G44*E44</f>
        <v>0</v>
      </c>
      <c r="J44" s="26"/>
    </row>
    <row r="45" spans="3:15" ht="14.5">
      <c r="C45" s="21">
        <f t="shared" si="8"/>
        <v>4</v>
      </c>
      <c r="D45" s="27"/>
      <c r="E45" s="23"/>
      <c r="F45" s="23"/>
      <c r="G45" s="28"/>
      <c r="H45" s="25">
        <f>G45*E45</f>
        <v>0</v>
      </c>
      <c r="J45" s="26"/>
    </row>
    <row r="46" spans="3:15" ht="14.5">
      <c r="C46" s="21">
        <f t="shared" si="8"/>
        <v>5</v>
      </c>
      <c r="D46" s="27"/>
      <c r="E46" s="23"/>
      <c r="F46" s="23"/>
      <c r="G46" s="24"/>
      <c r="H46" s="25">
        <f t="shared" ref="H46:H51" si="9">G46*E46</f>
        <v>0</v>
      </c>
      <c r="J46" s="26"/>
    </row>
    <row r="47" spans="3:15" ht="14.5">
      <c r="C47" s="21">
        <f t="shared" si="8"/>
        <v>6</v>
      </c>
      <c r="D47" s="27"/>
      <c r="E47" s="23"/>
      <c r="F47" s="27"/>
      <c r="G47" s="28"/>
      <c r="H47" s="25">
        <f t="shared" si="9"/>
        <v>0</v>
      </c>
      <c r="J47" s="26"/>
    </row>
    <row r="48" spans="3:15" ht="14.5">
      <c r="C48" s="21">
        <f t="shared" si="8"/>
        <v>7</v>
      </c>
      <c r="D48" s="27"/>
      <c r="E48" s="23"/>
      <c r="F48" s="27"/>
      <c r="G48" s="28"/>
      <c r="H48" s="25">
        <f t="shared" si="9"/>
        <v>0</v>
      </c>
      <c r="J48" s="26"/>
    </row>
    <row r="49" spans="3:11" ht="14.5">
      <c r="C49" s="21">
        <f t="shared" si="8"/>
        <v>8</v>
      </c>
      <c r="D49" s="27"/>
      <c r="E49" s="23"/>
      <c r="F49" s="27"/>
      <c r="G49" s="28"/>
      <c r="H49" s="25">
        <f t="shared" si="9"/>
        <v>0</v>
      </c>
      <c r="J49" s="26"/>
    </row>
    <row r="50" spans="3:11" ht="14.5">
      <c r="C50" s="21">
        <f t="shared" si="8"/>
        <v>9</v>
      </c>
      <c r="D50" s="30"/>
      <c r="E50" s="31"/>
      <c r="F50" s="30"/>
      <c r="G50" s="32"/>
      <c r="H50" s="33">
        <f t="shared" si="9"/>
        <v>0</v>
      </c>
      <c r="J50" s="26"/>
    </row>
    <row r="51" spans="3:11" ht="15" thickBot="1">
      <c r="C51" s="34">
        <f>1+C50</f>
        <v>10</v>
      </c>
      <c r="D51" s="35"/>
      <c r="E51" s="36"/>
      <c r="F51" s="37"/>
      <c r="G51" s="38"/>
      <c r="H51" s="39">
        <f t="shared" si="9"/>
        <v>0</v>
      </c>
      <c r="J51" s="26"/>
    </row>
    <row r="52" spans="3:11" ht="16.5" thickBot="1">
      <c r="C52" s="184" t="s">
        <v>13</v>
      </c>
      <c r="D52" s="185"/>
      <c r="E52" s="185"/>
      <c r="F52" s="185"/>
      <c r="G52" s="185"/>
      <c r="H52" s="40">
        <f>SUM(H42:H51)</f>
        <v>0</v>
      </c>
      <c r="I52" s="26">
        <f>H52</f>
        <v>0</v>
      </c>
      <c r="J52" s="26"/>
      <c r="K52" s="41"/>
    </row>
    <row r="53" spans="3:11" ht="13.5" thickBot="1">
      <c r="H53" s="43"/>
    </row>
    <row r="54" spans="3:11" ht="18" customHeight="1" thickBot="1">
      <c r="C54" s="186" t="s">
        <v>90</v>
      </c>
      <c r="D54" s="187"/>
      <c r="E54" s="187"/>
      <c r="F54" s="187"/>
      <c r="G54" s="187"/>
      <c r="H54" s="188"/>
    </row>
    <row r="55" spans="3:11" ht="15" customHeight="1">
      <c r="C55" s="189" t="s">
        <v>20</v>
      </c>
      <c r="D55" s="191" t="s">
        <v>21</v>
      </c>
      <c r="E55" s="191" t="s">
        <v>22</v>
      </c>
      <c r="F55" s="191" t="s">
        <v>23</v>
      </c>
      <c r="G55" s="191" t="s">
        <v>24</v>
      </c>
      <c r="H55" s="193" t="s">
        <v>25</v>
      </c>
    </row>
    <row r="56" spans="3:11" ht="13.9" customHeight="1" thickBot="1">
      <c r="C56" s="190"/>
      <c r="D56" s="192"/>
      <c r="E56" s="192"/>
      <c r="F56" s="192"/>
      <c r="G56" s="192"/>
      <c r="H56" s="194"/>
    </row>
    <row r="57" spans="3:11" ht="14.5">
      <c r="C57" s="21">
        <v>1</v>
      </c>
      <c r="D57" s="22" t="s">
        <v>41</v>
      </c>
      <c r="E57" s="23"/>
      <c r="F57" s="23" t="s">
        <v>57</v>
      </c>
      <c r="G57" s="24"/>
      <c r="H57" s="25">
        <f>G57*E57</f>
        <v>0</v>
      </c>
      <c r="J57" s="26"/>
    </row>
    <row r="58" spans="3:11" ht="14.5">
      <c r="C58" s="21">
        <f>1+C57</f>
        <v>2</v>
      </c>
      <c r="D58" s="27" t="s">
        <v>44</v>
      </c>
      <c r="E58" s="23"/>
      <c r="F58" s="23" t="s">
        <v>57</v>
      </c>
      <c r="G58" s="28"/>
      <c r="H58" s="25">
        <f>G58*E58</f>
        <v>0</v>
      </c>
      <c r="J58" s="26"/>
    </row>
    <row r="59" spans="3:11" ht="14.5">
      <c r="C59" s="21">
        <f t="shared" ref="C59:C65" si="10">1+C58</f>
        <v>3</v>
      </c>
      <c r="D59" s="27"/>
      <c r="E59" s="23"/>
      <c r="F59" s="23"/>
      <c r="G59" s="28"/>
      <c r="H59" s="25">
        <f>G59*E59</f>
        <v>0</v>
      </c>
      <c r="J59" s="26"/>
    </row>
    <row r="60" spans="3:11" ht="14.5">
      <c r="C60" s="21">
        <f t="shared" si="10"/>
        <v>4</v>
      </c>
      <c r="D60" s="27"/>
      <c r="E60" s="23"/>
      <c r="F60" s="23"/>
      <c r="G60" s="28"/>
      <c r="H60" s="25">
        <f>G60*E60</f>
        <v>0</v>
      </c>
      <c r="J60" s="26"/>
    </row>
    <row r="61" spans="3:11" ht="14.5">
      <c r="C61" s="21">
        <f t="shared" si="10"/>
        <v>5</v>
      </c>
      <c r="D61" s="27"/>
      <c r="E61" s="23"/>
      <c r="F61" s="23"/>
      <c r="G61" s="24"/>
      <c r="H61" s="25">
        <f t="shared" ref="H61:H66" si="11">G61*E61</f>
        <v>0</v>
      </c>
      <c r="J61" s="26"/>
    </row>
    <row r="62" spans="3:11" ht="14.5">
      <c r="C62" s="21">
        <f t="shared" si="10"/>
        <v>6</v>
      </c>
      <c r="D62" s="27"/>
      <c r="E62" s="23"/>
      <c r="F62" s="27"/>
      <c r="G62" s="28"/>
      <c r="H62" s="25">
        <f t="shared" si="11"/>
        <v>0</v>
      </c>
      <c r="J62" s="26"/>
    </row>
    <row r="63" spans="3:11" ht="14.5">
      <c r="C63" s="21">
        <f t="shared" si="10"/>
        <v>7</v>
      </c>
      <c r="D63" s="27"/>
      <c r="E63" s="23"/>
      <c r="F63" s="27"/>
      <c r="G63" s="28"/>
      <c r="H63" s="25">
        <f t="shared" si="11"/>
        <v>0</v>
      </c>
      <c r="J63" s="26"/>
    </row>
    <row r="64" spans="3:11" ht="14.5">
      <c r="C64" s="21">
        <f t="shared" si="10"/>
        <v>8</v>
      </c>
      <c r="D64" s="27"/>
      <c r="E64" s="23"/>
      <c r="F64" s="27"/>
      <c r="G64" s="28"/>
      <c r="H64" s="25">
        <f t="shared" si="11"/>
        <v>0</v>
      </c>
      <c r="J64" s="26"/>
    </row>
    <row r="65" spans="3:11" ht="14.5">
      <c r="C65" s="21">
        <f t="shared" si="10"/>
        <v>9</v>
      </c>
      <c r="D65" s="30"/>
      <c r="E65" s="31"/>
      <c r="F65" s="30"/>
      <c r="G65" s="32"/>
      <c r="H65" s="33">
        <f t="shared" si="11"/>
        <v>0</v>
      </c>
      <c r="J65" s="26"/>
    </row>
    <row r="66" spans="3:11" ht="15" thickBot="1">
      <c r="C66" s="34">
        <f>1+C65</f>
        <v>10</v>
      </c>
      <c r="D66" s="35"/>
      <c r="E66" s="36"/>
      <c r="F66" s="37"/>
      <c r="G66" s="38"/>
      <c r="H66" s="39">
        <f t="shared" si="11"/>
        <v>0</v>
      </c>
      <c r="J66" s="26"/>
    </row>
    <row r="67" spans="3:11" ht="16.5" thickBot="1">
      <c r="C67" s="184" t="s">
        <v>13</v>
      </c>
      <c r="D67" s="185"/>
      <c r="E67" s="185"/>
      <c r="F67" s="185"/>
      <c r="G67" s="185"/>
      <c r="H67" s="40">
        <f>SUM(H57:H66)</f>
        <v>0</v>
      </c>
      <c r="I67" s="26">
        <f>H67</f>
        <v>0</v>
      </c>
      <c r="J67" s="26"/>
      <c r="K67" s="41"/>
    </row>
    <row r="68" spans="3:11" ht="15" customHeight="1">
      <c r="C68" s="178"/>
      <c r="D68" s="178"/>
      <c r="E68" s="44"/>
      <c r="F68" s="178"/>
      <c r="G68" s="178"/>
      <c r="H68" s="178"/>
    </row>
    <row r="69" spans="3:11" ht="14.5">
      <c r="C69" s="178"/>
      <c r="D69" s="178"/>
      <c r="E69" s="44"/>
      <c r="F69" s="178"/>
      <c r="G69" s="178"/>
      <c r="H69" s="178"/>
    </row>
    <row r="70" spans="3:11" ht="15" thickBot="1">
      <c r="C70" s="45"/>
      <c r="E70" s="46"/>
      <c r="F70" s="47"/>
      <c r="G70" s="48"/>
      <c r="H70" s="49"/>
    </row>
    <row r="71" spans="3:11" ht="21.4" customHeight="1" thickBot="1">
      <c r="C71" s="180" t="s">
        <v>27</v>
      </c>
      <c r="D71" s="181"/>
      <c r="E71" s="181"/>
      <c r="F71" s="181"/>
      <c r="G71" s="182"/>
      <c r="H71" s="50">
        <f>SUM(I:I)</f>
        <v>0</v>
      </c>
    </row>
    <row r="72" spans="3:11" ht="14.5">
      <c r="C72" s="45"/>
      <c r="E72" s="46"/>
      <c r="F72" s="47"/>
      <c r="G72" s="48"/>
      <c r="H72" s="49"/>
    </row>
    <row r="73" spans="3:11" ht="15" customHeight="1">
      <c r="C73" s="45"/>
      <c r="E73" s="46"/>
      <c r="F73" s="47"/>
      <c r="G73" s="48"/>
      <c r="H73" s="49"/>
    </row>
    <row r="74" spans="3:11" ht="14.5">
      <c r="C74" s="45"/>
      <c r="E74" s="46"/>
      <c r="F74" s="47"/>
      <c r="G74" s="48"/>
      <c r="H74" s="49"/>
    </row>
    <row r="75" spans="3:11" ht="14.5">
      <c r="C75" s="45"/>
      <c r="E75" s="46"/>
      <c r="F75" s="47"/>
      <c r="G75" s="48"/>
      <c r="H75" s="49"/>
    </row>
    <row r="76" spans="3:11" ht="14.5">
      <c r="C76" s="45"/>
      <c r="E76" s="46"/>
      <c r="F76" s="47"/>
      <c r="G76" s="48"/>
      <c r="H76" s="49"/>
    </row>
    <row r="77" spans="3:11" ht="14.5">
      <c r="C77" s="45"/>
      <c r="E77" s="46"/>
      <c r="F77" s="47"/>
      <c r="G77" s="48"/>
      <c r="H77" s="49"/>
    </row>
    <row r="78" spans="3:11" ht="14.5">
      <c r="C78" s="45"/>
      <c r="D78" s="51"/>
      <c r="E78" s="46"/>
      <c r="F78" s="47"/>
      <c r="G78" s="52"/>
      <c r="H78" s="49"/>
    </row>
    <row r="79" spans="3:11" ht="14.5">
      <c r="C79" s="45"/>
      <c r="D79" s="51"/>
      <c r="E79" s="46"/>
      <c r="F79" s="47"/>
      <c r="G79" s="53"/>
      <c r="H79" s="49"/>
    </row>
    <row r="80" spans="3:11" ht="14.25" customHeight="1">
      <c r="C80" s="45"/>
      <c r="D80" s="51"/>
      <c r="E80" s="46"/>
      <c r="F80" s="47"/>
      <c r="G80" s="53"/>
      <c r="H80" s="49"/>
    </row>
    <row r="81" spans="3:8" ht="14.5">
      <c r="C81" s="45"/>
      <c r="D81" s="51"/>
      <c r="E81" s="46"/>
      <c r="F81" s="47"/>
      <c r="G81" s="53"/>
      <c r="H81" s="49"/>
    </row>
    <row r="82" spans="3:8" ht="14.5">
      <c r="C82" s="45"/>
      <c r="D82" s="51"/>
      <c r="E82" s="46"/>
      <c r="F82" s="47"/>
      <c r="G82" s="53"/>
      <c r="H82" s="49"/>
    </row>
    <row r="83" spans="3:8" ht="14.5">
      <c r="C83" s="45"/>
      <c r="D83" s="51"/>
      <c r="E83" s="46"/>
      <c r="F83" s="47"/>
      <c r="G83" s="53"/>
      <c r="H83" s="49"/>
    </row>
    <row r="84" spans="3:8" ht="14.5">
      <c r="C84" s="45"/>
      <c r="D84" s="51"/>
      <c r="E84" s="46"/>
      <c r="F84" s="51"/>
      <c r="G84" s="53"/>
      <c r="H84" s="49"/>
    </row>
    <row r="85" spans="3:8" ht="14.5">
      <c r="C85" s="179"/>
      <c r="D85" s="179"/>
      <c r="E85" s="179"/>
      <c r="F85" s="179"/>
      <c r="G85" s="179"/>
      <c r="H85" s="49"/>
    </row>
    <row r="86" spans="3:8" ht="6" customHeight="1"/>
    <row r="89" spans="3:8" ht="18" customHeight="1">
      <c r="C89" s="183"/>
      <c r="D89" s="183"/>
      <c r="E89" s="183"/>
      <c r="F89" s="183"/>
      <c r="G89" s="183"/>
      <c r="H89" s="183"/>
    </row>
    <row r="90" spans="3:8" ht="15" customHeight="1">
      <c r="C90" s="178"/>
      <c r="D90" s="178"/>
      <c r="E90" s="44"/>
      <c r="F90" s="178"/>
      <c r="G90" s="178"/>
      <c r="H90" s="178"/>
    </row>
    <row r="91" spans="3:8" ht="14.5">
      <c r="C91" s="178"/>
      <c r="D91" s="178"/>
      <c r="E91" s="44"/>
      <c r="F91" s="178"/>
      <c r="G91" s="178"/>
      <c r="H91" s="178"/>
    </row>
    <row r="92" spans="3:8" ht="14.5">
      <c r="C92" s="45"/>
      <c r="E92" s="46"/>
      <c r="F92" s="47"/>
      <c r="G92" s="48"/>
      <c r="H92" s="49"/>
    </row>
    <row r="93" spans="3:8" ht="14.5">
      <c r="C93" s="45"/>
      <c r="D93" s="51"/>
      <c r="E93" s="46"/>
      <c r="F93" s="47"/>
      <c r="G93" s="52"/>
      <c r="H93" s="49"/>
    </row>
    <row r="94" spans="3:8" ht="15" customHeight="1">
      <c r="C94" s="45"/>
      <c r="D94" s="51"/>
      <c r="E94" s="46"/>
      <c r="F94" s="47"/>
      <c r="G94" s="53"/>
      <c r="H94" s="49"/>
    </row>
    <row r="95" spans="3:8" ht="14.5">
      <c r="C95" s="45"/>
      <c r="D95" s="51"/>
      <c r="E95" s="46"/>
      <c r="F95" s="47"/>
      <c r="G95" s="53"/>
      <c r="H95" s="49"/>
    </row>
    <row r="96" spans="3:8" ht="14.5">
      <c r="C96" s="45"/>
      <c r="D96" s="51"/>
      <c r="E96" s="46"/>
      <c r="F96" s="47"/>
      <c r="G96" s="53"/>
      <c r="H96" s="49"/>
    </row>
    <row r="97" spans="3:8" ht="14.5">
      <c r="C97" s="45"/>
      <c r="E97" s="46"/>
      <c r="F97" s="47"/>
      <c r="G97" s="48"/>
      <c r="H97" s="49"/>
    </row>
    <row r="98" spans="3:8" ht="14.5">
      <c r="C98" s="45"/>
      <c r="D98" s="51"/>
      <c r="E98" s="46"/>
      <c r="F98" s="47"/>
      <c r="G98" s="53"/>
      <c r="H98" s="49"/>
    </row>
    <row r="99" spans="3:8" ht="14.5">
      <c r="C99" s="45"/>
      <c r="E99" s="46"/>
      <c r="F99" s="47"/>
      <c r="G99" s="48"/>
      <c r="H99" s="49"/>
    </row>
    <row r="100" spans="3:8" ht="14.5">
      <c r="C100" s="45"/>
      <c r="D100" s="51"/>
      <c r="E100" s="46"/>
      <c r="F100" s="47"/>
      <c r="G100" s="53"/>
      <c r="H100" s="49"/>
    </row>
    <row r="101" spans="3:8" ht="14.5">
      <c r="C101" s="45"/>
      <c r="D101" s="51"/>
      <c r="E101" s="46"/>
      <c r="F101" s="47"/>
      <c r="G101" s="53"/>
      <c r="H101" s="49"/>
    </row>
    <row r="102" spans="3:8" ht="14.25" customHeight="1">
      <c r="C102" s="45"/>
      <c r="D102" s="51"/>
      <c r="E102" s="46"/>
      <c r="F102" s="51"/>
      <c r="G102" s="53"/>
      <c r="H102" s="49"/>
    </row>
    <row r="103" spans="3:8" ht="14.5">
      <c r="C103" s="45"/>
      <c r="D103" s="51"/>
      <c r="E103" s="46"/>
      <c r="F103" s="54"/>
      <c r="G103" s="53"/>
      <c r="H103" s="49"/>
    </row>
    <row r="104" spans="3:8" ht="14.5">
      <c r="C104" s="45"/>
      <c r="D104" s="51"/>
      <c r="E104" s="46"/>
      <c r="F104" s="54"/>
      <c r="G104" s="53"/>
      <c r="H104" s="49"/>
    </row>
    <row r="105" spans="3:8" ht="14.5">
      <c r="C105" s="45"/>
      <c r="D105" s="51"/>
      <c r="E105" s="46"/>
      <c r="F105" s="54"/>
      <c r="G105" s="53"/>
      <c r="H105" s="49"/>
    </row>
    <row r="106" spans="3:8" ht="14.5">
      <c r="C106" s="179"/>
      <c r="D106" s="179"/>
      <c r="E106" s="179"/>
      <c r="F106" s="179"/>
      <c r="G106" s="179"/>
      <c r="H106" s="49"/>
    </row>
    <row r="107" spans="3:8" ht="6" customHeight="1"/>
    <row r="109" spans="3:8">
      <c r="G109" s="55"/>
      <c r="H109" s="56"/>
    </row>
  </sheetData>
  <mergeCells count="52">
    <mergeCell ref="C2:H5"/>
    <mergeCell ref="C7:H7"/>
    <mergeCell ref="C8:C9"/>
    <mergeCell ref="D8:D9"/>
    <mergeCell ref="E8:E9"/>
    <mergeCell ref="F8:F9"/>
    <mergeCell ref="G8:G9"/>
    <mergeCell ref="H8:H9"/>
    <mergeCell ref="C37:G37"/>
    <mergeCell ref="C20:G20"/>
    <mergeCell ref="C22:H22"/>
    <mergeCell ref="C23:C25"/>
    <mergeCell ref="D23:D25"/>
    <mergeCell ref="E23:E25"/>
    <mergeCell ref="F23:F25"/>
    <mergeCell ref="G23:G25"/>
    <mergeCell ref="H23:H25"/>
    <mergeCell ref="L28:P28"/>
    <mergeCell ref="R28:V28"/>
    <mergeCell ref="X28:AB28"/>
    <mergeCell ref="L29:P29"/>
    <mergeCell ref="Q29:AC29"/>
    <mergeCell ref="C39:H39"/>
    <mergeCell ref="C40:C41"/>
    <mergeCell ref="D40:D41"/>
    <mergeCell ref="E40:E41"/>
    <mergeCell ref="F40:F41"/>
    <mergeCell ref="G40:G41"/>
    <mergeCell ref="H40:H41"/>
    <mergeCell ref="C52:G52"/>
    <mergeCell ref="C54:H54"/>
    <mergeCell ref="C55:C56"/>
    <mergeCell ref="D55:D56"/>
    <mergeCell ref="E55:E56"/>
    <mergeCell ref="F55:F56"/>
    <mergeCell ref="G55:G56"/>
    <mergeCell ref="H55:H56"/>
    <mergeCell ref="C67:G67"/>
    <mergeCell ref="C68:C69"/>
    <mergeCell ref="D68:D69"/>
    <mergeCell ref="F68:F69"/>
    <mergeCell ref="G68:G69"/>
    <mergeCell ref="H90:H91"/>
    <mergeCell ref="C106:G106"/>
    <mergeCell ref="H68:H69"/>
    <mergeCell ref="C71:G71"/>
    <mergeCell ref="C85:G85"/>
    <mergeCell ref="C89:H89"/>
    <mergeCell ref="C90:C91"/>
    <mergeCell ref="D90:D91"/>
    <mergeCell ref="F90:F91"/>
    <mergeCell ref="G90:G91"/>
  </mergeCells>
  <pageMargins left="0.7" right="0.7" top="0.75" bottom="0.75" header="0.3" footer="0.3"/>
  <pageSetup scale="90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6D46-5C4D-43D1-BBCD-004CDEB9F499}">
  <sheetPr codeName="Sheet7"/>
  <dimension ref="C2:K107"/>
  <sheetViews>
    <sheetView showGridLines="0" zoomScale="85" zoomScaleNormal="85" workbookViewId="0">
      <selection activeCell="G55" sqref="G55"/>
    </sheetView>
  </sheetViews>
  <sheetFormatPr defaultColWidth="9.26953125" defaultRowHeight="13"/>
  <cols>
    <col min="1" max="2" width="7.7265625" style="20" customWidth="1"/>
    <col min="3" max="3" width="5.26953125" style="20" customWidth="1"/>
    <col min="4" max="4" width="41.7265625" style="20" customWidth="1"/>
    <col min="5" max="5" width="11.453125" style="20" bestFit="1" customWidth="1"/>
    <col min="6" max="6" width="8.54296875" style="20" customWidth="1"/>
    <col min="7" max="7" width="20.26953125" style="20" customWidth="1"/>
    <col min="8" max="8" width="16.7265625" style="20" bestFit="1" customWidth="1"/>
    <col min="9" max="9" width="1.453125" style="20" customWidth="1"/>
    <col min="10" max="10" width="9.26953125" style="20"/>
    <col min="11" max="11" width="11.7265625" style="20" bestFit="1" customWidth="1"/>
    <col min="12" max="16384" width="9.26953125" style="20"/>
  </cols>
  <sheetData>
    <row r="2" spans="3:10">
      <c r="C2" s="195" t="s">
        <v>74</v>
      </c>
      <c r="D2" s="196"/>
      <c r="E2" s="196"/>
      <c r="F2" s="196"/>
      <c r="G2" s="196"/>
      <c r="H2" s="196"/>
    </row>
    <row r="3" spans="3:10">
      <c r="C3" s="196"/>
      <c r="D3" s="196"/>
      <c r="E3" s="196"/>
      <c r="F3" s="196"/>
      <c r="G3" s="196"/>
      <c r="H3" s="196"/>
    </row>
    <row r="4" spans="3:10">
      <c r="C4" s="196"/>
      <c r="D4" s="196"/>
      <c r="E4" s="196"/>
      <c r="F4" s="196"/>
      <c r="G4" s="196"/>
      <c r="H4" s="196"/>
    </row>
    <row r="5" spans="3:10">
      <c r="C5" s="196"/>
      <c r="D5" s="196"/>
      <c r="E5" s="196"/>
      <c r="F5" s="196"/>
      <c r="G5" s="196"/>
      <c r="H5" s="196"/>
    </row>
    <row r="6" spans="3:10" ht="13.5" thickBot="1"/>
    <row r="7" spans="3:10" ht="18" customHeight="1" thickBot="1">
      <c r="C7" s="186" t="s">
        <v>94</v>
      </c>
      <c r="D7" s="187"/>
      <c r="E7" s="187"/>
      <c r="F7" s="187"/>
      <c r="G7" s="187"/>
      <c r="H7" s="188"/>
    </row>
    <row r="8" spans="3:10" ht="15" customHeight="1">
      <c r="C8" s="189" t="s">
        <v>20</v>
      </c>
      <c r="D8" s="191" t="s">
        <v>21</v>
      </c>
      <c r="E8" s="191" t="s">
        <v>22</v>
      </c>
      <c r="F8" s="191" t="s">
        <v>23</v>
      </c>
      <c r="G8" s="191" t="s">
        <v>24</v>
      </c>
      <c r="H8" s="193" t="s">
        <v>25</v>
      </c>
    </row>
    <row r="9" spans="3:10" ht="13.9" customHeight="1" thickBot="1">
      <c r="C9" s="190"/>
      <c r="D9" s="192"/>
      <c r="E9" s="192"/>
      <c r="F9" s="192"/>
      <c r="G9" s="192"/>
      <c r="H9" s="194"/>
    </row>
    <row r="10" spans="3:10" ht="14.5">
      <c r="C10" s="21">
        <v>1</v>
      </c>
      <c r="D10" s="22" t="s">
        <v>91</v>
      </c>
      <c r="E10" s="23">
        <v>1</v>
      </c>
      <c r="F10" s="23" t="s">
        <v>92</v>
      </c>
      <c r="G10" s="24"/>
      <c r="H10" s="25">
        <f t="shared" ref="H10:H19" si="0">G10*E10</f>
        <v>0</v>
      </c>
      <c r="J10" s="26"/>
    </row>
    <row r="11" spans="3:10" ht="14.5">
      <c r="C11" s="21">
        <f>1+C10</f>
        <v>2</v>
      </c>
      <c r="D11" s="27" t="s">
        <v>93</v>
      </c>
      <c r="E11" s="23"/>
      <c r="F11" s="23"/>
      <c r="G11" s="28"/>
      <c r="H11" s="25">
        <f t="shared" si="0"/>
        <v>0</v>
      </c>
      <c r="J11" s="26"/>
    </row>
    <row r="12" spans="3:10" ht="14.5">
      <c r="C12" s="21">
        <f t="shared" ref="C12:C18" si="1">1+C11</f>
        <v>3</v>
      </c>
      <c r="D12" s="27"/>
      <c r="E12" s="23"/>
      <c r="F12" s="23"/>
      <c r="G12" s="28"/>
      <c r="H12" s="25">
        <f t="shared" si="0"/>
        <v>0</v>
      </c>
      <c r="J12" s="26"/>
    </row>
    <row r="13" spans="3:10" ht="14.5">
      <c r="C13" s="21">
        <f t="shared" si="1"/>
        <v>4</v>
      </c>
      <c r="D13" s="27"/>
      <c r="E13" s="23"/>
      <c r="F13" s="23"/>
      <c r="G13" s="28"/>
      <c r="H13" s="25">
        <f>G13*E13</f>
        <v>0</v>
      </c>
      <c r="J13" s="26"/>
    </row>
    <row r="14" spans="3:10" ht="14.5">
      <c r="C14" s="21">
        <f t="shared" si="1"/>
        <v>5</v>
      </c>
      <c r="D14" s="27"/>
      <c r="E14" s="23"/>
      <c r="F14" s="23"/>
      <c r="G14" s="24"/>
      <c r="H14" s="25">
        <f t="shared" si="0"/>
        <v>0</v>
      </c>
      <c r="J14" s="26"/>
    </row>
    <row r="15" spans="3:10" ht="14.5">
      <c r="C15" s="21">
        <f t="shared" si="1"/>
        <v>6</v>
      </c>
      <c r="D15" s="27"/>
      <c r="E15" s="23"/>
      <c r="F15" s="27"/>
      <c r="G15" s="28"/>
      <c r="H15" s="25">
        <f t="shared" si="0"/>
        <v>0</v>
      </c>
      <c r="J15" s="26"/>
    </row>
    <row r="16" spans="3:10" ht="14.5">
      <c r="C16" s="21">
        <f t="shared" si="1"/>
        <v>7</v>
      </c>
      <c r="D16" s="27"/>
      <c r="E16" s="23"/>
      <c r="F16" s="27"/>
      <c r="G16" s="28"/>
      <c r="H16" s="25">
        <f t="shared" si="0"/>
        <v>0</v>
      </c>
      <c r="J16" s="26"/>
    </row>
    <row r="17" spans="3:11" ht="14.5">
      <c r="C17" s="21">
        <f t="shared" si="1"/>
        <v>8</v>
      </c>
      <c r="D17" s="27"/>
      <c r="E17" s="23"/>
      <c r="F17" s="27"/>
      <c r="G17" s="28"/>
      <c r="H17" s="25">
        <f t="shared" si="0"/>
        <v>0</v>
      </c>
      <c r="J17" s="26"/>
    </row>
    <row r="18" spans="3:11" ht="14.5">
      <c r="C18" s="21">
        <f t="shared" si="1"/>
        <v>9</v>
      </c>
      <c r="D18" s="30"/>
      <c r="E18" s="31"/>
      <c r="F18" s="30"/>
      <c r="G18" s="32"/>
      <c r="H18" s="33">
        <f t="shared" si="0"/>
        <v>0</v>
      </c>
      <c r="J18" s="26"/>
    </row>
    <row r="19" spans="3:11" ht="15" thickBot="1">
      <c r="C19" s="34">
        <f>1+C18</f>
        <v>10</v>
      </c>
      <c r="D19" s="35"/>
      <c r="E19" s="36"/>
      <c r="F19" s="37"/>
      <c r="G19" s="38"/>
      <c r="H19" s="39">
        <f t="shared" si="0"/>
        <v>0</v>
      </c>
      <c r="J19" s="26"/>
    </row>
    <row r="20" spans="3:11" ht="16.5" thickBot="1">
      <c r="C20" s="184" t="s">
        <v>13</v>
      </c>
      <c r="D20" s="185"/>
      <c r="E20" s="185"/>
      <c r="F20" s="185"/>
      <c r="G20" s="185"/>
      <c r="H20" s="40">
        <f>SUM(H10:H19)</f>
        <v>0</v>
      </c>
      <c r="I20" s="26">
        <f>H20</f>
        <v>0</v>
      </c>
      <c r="J20" s="26"/>
      <c r="K20" s="41"/>
    </row>
    <row r="21" spans="3:11" ht="13.5" thickBot="1"/>
    <row r="22" spans="3:11" ht="18" customHeight="1" thickBot="1">
      <c r="C22" s="186" t="s">
        <v>95</v>
      </c>
      <c r="D22" s="187"/>
      <c r="E22" s="187"/>
      <c r="F22" s="187"/>
      <c r="G22" s="187"/>
      <c r="H22" s="188"/>
    </row>
    <row r="23" spans="3:11" ht="15" customHeight="1">
      <c r="C23" s="189" t="s">
        <v>20</v>
      </c>
      <c r="D23" s="191" t="s">
        <v>21</v>
      </c>
      <c r="E23" s="191" t="s">
        <v>22</v>
      </c>
      <c r="F23" s="191" t="s">
        <v>23</v>
      </c>
      <c r="G23" s="191" t="s">
        <v>24</v>
      </c>
      <c r="H23" s="193" t="s">
        <v>25</v>
      </c>
    </row>
    <row r="24" spans="3:11" ht="13.9" customHeight="1" thickBot="1">
      <c r="C24" s="190"/>
      <c r="D24" s="192"/>
      <c r="E24" s="192"/>
      <c r="F24" s="192"/>
      <c r="G24" s="192"/>
      <c r="H24" s="194"/>
    </row>
    <row r="25" spans="3:11" ht="14.5">
      <c r="C25" s="21">
        <v>1</v>
      </c>
      <c r="D25" s="22" t="s">
        <v>91</v>
      </c>
      <c r="E25" s="23">
        <v>1</v>
      </c>
      <c r="F25" s="23" t="s">
        <v>92</v>
      </c>
      <c r="G25" s="24"/>
      <c r="H25" s="25">
        <f>G25*E25</f>
        <v>0</v>
      </c>
      <c r="J25" s="26"/>
    </row>
    <row r="26" spans="3:11" ht="14.5">
      <c r="C26" s="21">
        <f>1+C25</f>
        <v>2</v>
      </c>
      <c r="D26" s="27" t="s">
        <v>93</v>
      </c>
      <c r="E26" s="23"/>
      <c r="F26" s="23"/>
      <c r="G26" s="28"/>
      <c r="H26" s="25">
        <f>G26*E26</f>
        <v>0</v>
      </c>
      <c r="J26" s="26"/>
    </row>
    <row r="27" spans="3:11" ht="14.5">
      <c r="C27" s="21">
        <f t="shared" ref="C27:C33" si="2">1+C26</f>
        <v>3</v>
      </c>
      <c r="D27" s="27"/>
      <c r="E27" s="23"/>
      <c r="F27" s="23"/>
      <c r="G27" s="28"/>
      <c r="H27" s="25">
        <f>G27*E27</f>
        <v>0</v>
      </c>
      <c r="J27" s="26"/>
    </row>
    <row r="28" spans="3:11" ht="14.5">
      <c r="C28" s="21">
        <f t="shared" si="2"/>
        <v>4</v>
      </c>
      <c r="D28" s="27"/>
      <c r="E28" s="23"/>
      <c r="F28" s="23"/>
      <c r="G28" s="28"/>
      <c r="H28" s="25">
        <f>G28*E28</f>
        <v>0</v>
      </c>
      <c r="J28" s="26"/>
    </row>
    <row r="29" spans="3:11" ht="14.5">
      <c r="C29" s="21">
        <f t="shared" si="2"/>
        <v>5</v>
      </c>
      <c r="D29" s="27"/>
      <c r="E29" s="23"/>
      <c r="F29" s="23"/>
      <c r="G29" s="24"/>
      <c r="H29" s="25">
        <f t="shared" ref="H29:H34" si="3">G29*E29</f>
        <v>0</v>
      </c>
      <c r="J29" s="26"/>
    </row>
    <row r="30" spans="3:11" ht="14.5">
      <c r="C30" s="21">
        <f t="shared" si="2"/>
        <v>6</v>
      </c>
      <c r="D30" s="27"/>
      <c r="E30" s="23"/>
      <c r="F30" s="27"/>
      <c r="G30" s="28"/>
      <c r="H30" s="25">
        <f t="shared" si="3"/>
        <v>0</v>
      </c>
      <c r="J30" s="26"/>
    </row>
    <row r="31" spans="3:11" ht="14.5">
      <c r="C31" s="21">
        <f t="shared" si="2"/>
        <v>7</v>
      </c>
      <c r="D31" s="27"/>
      <c r="E31" s="23"/>
      <c r="F31" s="27"/>
      <c r="G31" s="28"/>
      <c r="H31" s="25">
        <f t="shared" si="3"/>
        <v>0</v>
      </c>
      <c r="J31" s="26"/>
    </row>
    <row r="32" spans="3:11" ht="14.5">
      <c r="C32" s="21">
        <f t="shared" si="2"/>
        <v>8</v>
      </c>
      <c r="D32" s="27"/>
      <c r="E32" s="23"/>
      <c r="F32" s="27"/>
      <c r="G32" s="28"/>
      <c r="H32" s="25">
        <f t="shared" si="3"/>
        <v>0</v>
      </c>
      <c r="J32" s="26"/>
    </row>
    <row r="33" spans="3:11" ht="14.5">
      <c r="C33" s="21">
        <f t="shared" si="2"/>
        <v>9</v>
      </c>
      <c r="D33" s="30"/>
      <c r="E33" s="31"/>
      <c r="F33" s="30"/>
      <c r="G33" s="32"/>
      <c r="H33" s="33">
        <f t="shared" si="3"/>
        <v>0</v>
      </c>
      <c r="J33" s="26"/>
    </row>
    <row r="34" spans="3:11" ht="15" thickBot="1">
      <c r="C34" s="34">
        <f>1+C33</f>
        <v>10</v>
      </c>
      <c r="D34" s="35"/>
      <c r="E34" s="36"/>
      <c r="F34" s="37"/>
      <c r="G34" s="38"/>
      <c r="H34" s="39">
        <f t="shared" si="3"/>
        <v>0</v>
      </c>
      <c r="J34" s="26"/>
    </row>
    <row r="35" spans="3:11" ht="16.5" thickBot="1">
      <c r="C35" s="184" t="s">
        <v>13</v>
      </c>
      <c r="D35" s="185"/>
      <c r="E35" s="185"/>
      <c r="F35" s="185"/>
      <c r="G35" s="185"/>
      <c r="H35" s="40">
        <f>SUM(H25:H34)</f>
        <v>0</v>
      </c>
      <c r="I35" s="26">
        <f>H35</f>
        <v>0</v>
      </c>
      <c r="J35" s="26"/>
      <c r="K35" s="41"/>
    </row>
    <row r="36" spans="3:11" ht="13.5" thickBot="1">
      <c r="H36" s="42"/>
    </row>
    <row r="37" spans="3:11" ht="18" customHeight="1" thickBot="1">
      <c r="C37" s="186" t="s">
        <v>96</v>
      </c>
      <c r="D37" s="187"/>
      <c r="E37" s="187"/>
      <c r="F37" s="187"/>
      <c r="G37" s="187"/>
      <c r="H37" s="188"/>
    </row>
    <row r="38" spans="3:11" ht="15" customHeight="1">
      <c r="C38" s="189" t="s">
        <v>20</v>
      </c>
      <c r="D38" s="191" t="s">
        <v>21</v>
      </c>
      <c r="E38" s="191" t="s">
        <v>22</v>
      </c>
      <c r="F38" s="191" t="s">
        <v>23</v>
      </c>
      <c r="G38" s="191" t="s">
        <v>24</v>
      </c>
      <c r="H38" s="193" t="s">
        <v>25</v>
      </c>
    </row>
    <row r="39" spans="3:11" ht="13.9" customHeight="1" thickBot="1">
      <c r="C39" s="190"/>
      <c r="D39" s="192"/>
      <c r="E39" s="192"/>
      <c r="F39" s="192"/>
      <c r="G39" s="192"/>
      <c r="H39" s="194"/>
    </row>
    <row r="40" spans="3:11" ht="14.5">
      <c r="C40" s="21">
        <v>1</v>
      </c>
      <c r="D40" s="22" t="s">
        <v>52</v>
      </c>
      <c r="E40" s="23">
        <v>1</v>
      </c>
      <c r="F40" s="23" t="s">
        <v>92</v>
      </c>
      <c r="G40" s="24"/>
      <c r="H40" s="25">
        <f>G40*E40</f>
        <v>0</v>
      </c>
      <c r="J40" s="26"/>
    </row>
    <row r="41" spans="3:11" ht="14.5">
      <c r="C41" s="21">
        <f>1+C40</f>
        <v>2</v>
      </c>
      <c r="D41" s="27"/>
      <c r="E41" s="23"/>
      <c r="F41" s="23"/>
      <c r="G41" s="28"/>
      <c r="H41" s="25">
        <f>G41*E41</f>
        <v>0</v>
      </c>
      <c r="J41" s="26"/>
    </row>
    <row r="42" spans="3:11" ht="14.5">
      <c r="C42" s="21">
        <f t="shared" ref="C42:C48" si="4">1+C41</f>
        <v>3</v>
      </c>
      <c r="D42" s="27"/>
      <c r="E42" s="23"/>
      <c r="F42" s="23"/>
      <c r="G42" s="28"/>
      <c r="H42" s="25">
        <f>G42*E42</f>
        <v>0</v>
      </c>
      <c r="J42" s="26"/>
    </row>
    <row r="43" spans="3:11" ht="14.5">
      <c r="C43" s="21">
        <f t="shared" si="4"/>
        <v>4</v>
      </c>
      <c r="D43" s="27"/>
      <c r="E43" s="23"/>
      <c r="F43" s="23"/>
      <c r="G43" s="28"/>
      <c r="H43" s="25">
        <f>G43*E43</f>
        <v>0</v>
      </c>
      <c r="J43" s="26"/>
    </row>
    <row r="44" spans="3:11" ht="14.5">
      <c r="C44" s="21">
        <f t="shared" si="4"/>
        <v>5</v>
      </c>
      <c r="D44" s="27"/>
      <c r="E44" s="23"/>
      <c r="F44" s="23"/>
      <c r="G44" s="24"/>
      <c r="H44" s="25">
        <f t="shared" ref="H44:H49" si="5">G44*E44</f>
        <v>0</v>
      </c>
      <c r="J44" s="26"/>
    </row>
    <row r="45" spans="3:11" ht="14.5">
      <c r="C45" s="21">
        <f t="shared" si="4"/>
        <v>6</v>
      </c>
      <c r="D45" s="27"/>
      <c r="E45" s="23"/>
      <c r="F45" s="27"/>
      <c r="G45" s="28"/>
      <c r="H45" s="25">
        <f t="shared" si="5"/>
        <v>0</v>
      </c>
      <c r="J45" s="26"/>
    </row>
    <row r="46" spans="3:11" ht="14.5">
      <c r="C46" s="21">
        <f t="shared" si="4"/>
        <v>7</v>
      </c>
      <c r="D46" s="27"/>
      <c r="E46" s="23"/>
      <c r="F46" s="27"/>
      <c r="G46" s="28"/>
      <c r="H46" s="25">
        <f t="shared" si="5"/>
        <v>0</v>
      </c>
      <c r="J46" s="26"/>
    </row>
    <row r="47" spans="3:11" ht="14.5">
      <c r="C47" s="21">
        <f t="shared" si="4"/>
        <v>8</v>
      </c>
      <c r="D47" s="27"/>
      <c r="E47" s="23"/>
      <c r="F47" s="27"/>
      <c r="G47" s="28"/>
      <c r="H47" s="25">
        <f t="shared" si="5"/>
        <v>0</v>
      </c>
      <c r="J47" s="26"/>
    </row>
    <row r="48" spans="3:11" ht="14.5">
      <c r="C48" s="21">
        <f t="shared" si="4"/>
        <v>9</v>
      </c>
      <c r="D48" s="30"/>
      <c r="E48" s="31"/>
      <c r="F48" s="30"/>
      <c r="G48" s="32"/>
      <c r="H48" s="33">
        <f t="shared" si="5"/>
        <v>0</v>
      </c>
      <c r="J48" s="26"/>
    </row>
    <row r="49" spans="3:11" ht="15" thickBot="1">
      <c r="C49" s="34">
        <f>1+C48</f>
        <v>10</v>
      </c>
      <c r="D49" s="35"/>
      <c r="E49" s="36"/>
      <c r="F49" s="37"/>
      <c r="G49" s="38"/>
      <c r="H49" s="39">
        <f t="shared" si="5"/>
        <v>0</v>
      </c>
      <c r="J49" s="26"/>
    </row>
    <row r="50" spans="3:11" ht="16.5" thickBot="1">
      <c r="C50" s="184" t="s">
        <v>13</v>
      </c>
      <c r="D50" s="185"/>
      <c r="E50" s="185"/>
      <c r="F50" s="185"/>
      <c r="G50" s="185"/>
      <c r="H50" s="40">
        <f>SUM(H40:H49)</f>
        <v>0</v>
      </c>
      <c r="I50" s="26">
        <f>H50</f>
        <v>0</v>
      </c>
      <c r="J50" s="26"/>
      <c r="K50" s="41"/>
    </row>
    <row r="51" spans="3:11" ht="13.5" thickBot="1">
      <c r="H51" s="43"/>
    </row>
    <row r="52" spans="3:11" ht="18" customHeight="1" thickBot="1">
      <c r="C52" s="186" t="s">
        <v>97</v>
      </c>
      <c r="D52" s="187"/>
      <c r="E52" s="187"/>
      <c r="F52" s="187"/>
      <c r="G52" s="187"/>
      <c r="H52" s="188"/>
    </row>
    <row r="53" spans="3:11" ht="15" customHeight="1">
      <c r="C53" s="189" t="s">
        <v>20</v>
      </c>
      <c r="D53" s="191" t="s">
        <v>21</v>
      </c>
      <c r="E53" s="191" t="s">
        <v>22</v>
      </c>
      <c r="F53" s="191" t="s">
        <v>23</v>
      </c>
      <c r="G53" s="191" t="s">
        <v>24</v>
      </c>
      <c r="H53" s="193" t="s">
        <v>25</v>
      </c>
    </row>
    <row r="54" spans="3:11" ht="13.9" customHeight="1" thickBot="1">
      <c r="C54" s="190"/>
      <c r="D54" s="192"/>
      <c r="E54" s="192"/>
      <c r="F54" s="192"/>
      <c r="G54" s="192"/>
      <c r="H54" s="194"/>
    </row>
    <row r="55" spans="3:11" ht="14.5">
      <c r="C55" s="21">
        <v>1</v>
      </c>
      <c r="D55" s="22" t="s">
        <v>52</v>
      </c>
      <c r="E55" s="23">
        <v>1</v>
      </c>
      <c r="F55" s="23" t="s">
        <v>92</v>
      </c>
      <c r="G55" s="24"/>
      <c r="H55" s="25">
        <f>G55*E55</f>
        <v>0</v>
      </c>
      <c r="J55" s="26"/>
    </row>
    <row r="56" spans="3:11" ht="14.5">
      <c r="C56" s="21">
        <f>1+C55</f>
        <v>2</v>
      </c>
      <c r="D56" s="27"/>
      <c r="E56" s="23"/>
      <c r="F56" s="23"/>
      <c r="G56" s="28"/>
      <c r="H56" s="25">
        <f>G56*E56</f>
        <v>0</v>
      </c>
      <c r="J56" s="26"/>
    </row>
    <row r="57" spans="3:11" ht="14.5">
      <c r="C57" s="21">
        <f t="shared" ref="C57:C63" si="6">1+C56</f>
        <v>3</v>
      </c>
      <c r="D57" s="27"/>
      <c r="E57" s="23"/>
      <c r="F57" s="23"/>
      <c r="G57" s="28"/>
      <c r="H57" s="25">
        <f>G57*E57</f>
        <v>0</v>
      </c>
      <c r="J57" s="26"/>
    </row>
    <row r="58" spans="3:11" ht="14.5">
      <c r="C58" s="21">
        <f t="shared" si="6"/>
        <v>4</v>
      </c>
      <c r="D58" s="27"/>
      <c r="E58" s="23"/>
      <c r="F58" s="23"/>
      <c r="G58" s="28"/>
      <c r="H58" s="25">
        <f>G58*E58</f>
        <v>0</v>
      </c>
      <c r="J58" s="26"/>
    </row>
    <row r="59" spans="3:11" ht="14.5">
      <c r="C59" s="21">
        <f t="shared" si="6"/>
        <v>5</v>
      </c>
      <c r="D59" s="27"/>
      <c r="E59" s="23"/>
      <c r="F59" s="23"/>
      <c r="G59" s="24"/>
      <c r="H59" s="25">
        <f t="shared" ref="H59:H64" si="7">G59*E59</f>
        <v>0</v>
      </c>
      <c r="J59" s="26"/>
    </row>
    <row r="60" spans="3:11" ht="14.5">
      <c r="C60" s="21">
        <f t="shared" si="6"/>
        <v>6</v>
      </c>
      <c r="D60" s="27"/>
      <c r="E60" s="23"/>
      <c r="F60" s="27"/>
      <c r="G60" s="28"/>
      <c r="H60" s="25">
        <f t="shared" si="7"/>
        <v>0</v>
      </c>
      <c r="J60" s="26"/>
    </row>
    <row r="61" spans="3:11" ht="14.5">
      <c r="C61" s="21">
        <f t="shared" si="6"/>
        <v>7</v>
      </c>
      <c r="D61" s="27"/>
      <c r="E61" s="23"/>
      <c r="F61" s="27"/>
      <c r="G61" s="28"/>
      <c r="H61" s="25">
        <f t="shared" si="7"/>
        <v>0</v>
      </c>
      <c r="J61" s="26"/>
    </row>
    <row r="62" spans="3:11" ht="14.5">
      <c r="C62" s="21">
        <f t="shared" si="6"/>
        <v>8</v>
      </c>
      <c r="D62" s="27"/>
      <c r="E62" s="23"/>
      <c r="F62" s="27"/>
      <c r="G62" s="28"/>
      <c r="H62" s="25">
        <f t="shared" si="7"/>
        <v>0</v>
      </c>
      <c r="J62" s="26"/>
    </row>
    <row r="63" spans="3:11" ht="14.5">
      <c r="C63" s="21">
        <f t="shared" si="6"/>
        <v>9</v>
      </c>
      <c r="D63" s="30"/>
      <c r="E63" s="31"/>
      <c r="F63" s="30"/>
      <c r="G63" s="32"/>
      <c r="H63" s="33">
        <f t="shared" si="7"/>
        <v>0</v>
      </c>
      <c r="J63" s="26"/>
    </row>
    <row r="64" spans="3:11" ht="15" thickBot="1">
      <c r="C64" s="34">
        <f>1+C63</f>
        <v>10</v>
      </c>
      <c r="D64" s="35"/>
      <c r="E64" s="36"/>
      <c r="F64" s="37"/>
      <c r="G64" s="38"/>
      <c r="H64" s="39">
        <f t="shared" si="7"/>
        <v>0</v>
      </c>
      <c r="J64" s="26"/>
    </row>
    <row r="65" spans="3:11" ht="16.5" thickBot="1">
      <c r="C65" s="184" t="s">
        <v>13</v>
      </c>
      <c r="D65" s="185"/>
      <c r="E65" s="185"/>
      <c r="F65" s="185"/>
      <c r="G65" s="185"/>
      <c r="H65" s="40">
        <f>SUM(H55:H64)</f>
        <v>0</v>
      </c>
      <c r="I65" s="26">
        <f>H65</f>
        <v>0</v>
      </c>
      <c r="J65" s="26"/>
      <c r="K65" s="41"/>
    </row>
    <row r="66" spans="3:11" ht="15" customHeight="1">
      <c r="C66" s="178"/>
      <c r="D66" s="178"/>
      <c r="E66" s="44"/>
      <c r="F66" s="178"/>
      <c r="G66" s="178"/>
      <c r="H66" s="178"/>
    </row>
    <row r="67" spans="3:11" ht="14.5">
      <c r="C67" s="178"/>
      <c r="D67" s="178"/>
      <c r="E67" s="44"/>
      <c r="F67" s="178"/>
      <c r="G67" s="178"/>
      <c r="H67" s="178"/>
    </row>
    <row r="68" spans="3:11" ht="15" thickBot="1">
      <c r="C68" s="45"/>
      <c r="E68" s="46"/>
      <c r="F68" s="47"/>
      <c r="G68" s="48"/>
      <c r="H68" s="49"/>
    </row>
    <row r="69" spans="3:11" ht="21.4" customHeight="1" thickBot="1">
      <c r="C69" s="180" t="s">
        <v>27</v>
      </c>
      <c r="D69" s="181"/>
      <c r="E69" s="181"/>
      <c r="F69" s="181"/>
      <c r="G69" s="182"/>
      <c r="H69" s="50">
        <f>SUM(I:I)</f>
        <v>0</v>
      </c>
    </row>
    <row r="70" spans="3:11" ht="14.5">
      <c r="C70" s="45"/>
      <c r="E70" s="46"/>
      <c r="F70" s="47"/>
      <c r="G70" s="48"/>
      <c r="H70" s="49"/>
    </row>
    <row r="71" spans="3:11" ht="15" customHeight="1">
      <c r="C71" s="45"/>
      <c r="E71" s="46"/>
      <c r="F71" s="47"/>
      <c r="G71" s="48"/>
      <c r="H71" s="49"/>
    </row>
    <row r="72" spans="3:11" ht="14.5">
      <c r="C72" s="45"/>
      <c r="E72" s="46"/>
      <c r="F72" s="47"/>
      <c r="G72" s="48"/>
      <c r="H72" s="49"/>
    </row>
    <row r="73" spans="3:11" ht="14.5">
      <c r="C73" s="45"/>
      <c r="E73" s="46"/>
      <c r="F73" s="47"/>
      <c r="G73" s="48"/>
      <c r="H73" s="49"/>
    </row>
    <row r="74" spans="3:11" ht="14.5">
      <c r="C74" s="45"/>
      <c r="E74" s="46"/>
      <c r="F74" s="47"/>
      <c r="G74" s="48"/>
      <c r="H74" s="49"/>
    </row>
    <row r="75" spans="3:11" ht="14.5">
      <c r="C75" s="45"/>
      <c r="E75" s="46"/>
      <c r="F75" s="47"/>
      <c r="G75" s="48"/>
      <c r="H75" s="49"/>
    </row>
    <row r="76" spans="3:11" ht="14.5">
      <c r="C76" s="45"/>
      <c r="D76" s="51"/>
      <c r="E76" s="46"/>
      <c r="F76" s="47"/>
      <c r="G76" s="52"/>
      <c r="H76" s="49"/>
    </row>
    <row r="77" spans="3:11" ht="14.5">
      <c r="C77" s="45"/>
      <c r="D77" s="51"/>
      <c r="E77" s="46"/>
      <c r="F77" s="47"/>
      <c r="G77" s="53"/>
      <c r="H77" s="49"/>
    </row>
    <row r="78" spans="3:11" ht="14.25" customHeight="1">
      <c r="C78" s="45"/>
      <c r="D78" s="51"/>
      <c r="E78" s="46"/>
      <c r="F78" s="47"/>
      <c r="G78" s="53"/>
      <c r="H78" s="49"/>
    </row>
    <row r="79" spans="3:11" ht="14.5">
      <c r="C79" s="45"/>
      <c r="D79" s="51"/>
      <c r="E79" s="46"/>
      <c r="F79" s="47"/>
      <c r="G79" s="53"/>
      <c r="H79" s="49"/>
    </row>
    <row r="80" spans="3:11" ht="14.5">
      <c r="C80" s="45"/>
      <c r="D80" s="51"/>
      <c r="E80" s="46"/>
      <c r="F80" s="47"/>
      <c r="G80" s="53"/>
      <c r="H80" s="49"/>
    </row>
    <row r="81" spans="3:8" ht="14.5">
      <c r="C81" s="45"/>
      <c r="D81" s="51"/>
      <c r="E81" s="46"/>
      <c r="F81" s="47"/>
      <c r="G81" s="53"/>
      <c r="H81" s="49"/>
    </row>
    <row r="82" spans="3:8" ht="14.5">
      <c r="C82" s="45"/>
      <c r="D82" s="51"/>
      <c r="E82" s="46"/>
      <c r="F82" s="51"/>
      <c r="G82" s="53"/>
      <c r="H82" s="49"/>
    </row>
    <row r="83" spans="3:8" ht="14.5">
      <c r="C83" s="179"/>
      <c r="D83" s="179"/>
      <c r="E83" s="179"/>
      <c r="F83" s="179"/>
      <c r="G83" s="179"/>
      <c r="H83" s="49"/>
    </row>
    <row r="84" spans="3:8" ht="6" customHeight="1"/>
    <row r="87" spans="3:8" ht="18" customHeight="1">
      <c r="C87" s="183"/>
      <c r="D87" s="183"/>
      <c r="E87" s="183"/>
      <c r="F87" s="183"/>
      <c r="G87" s="183"/>
      <c r="H87" s="183"/>
    </row>
    <row r="88" spans="3:8" ht="15" customHeight="1">
      <c r="C88" s="178"/>
      <c r="D88" s="178"/>
      <c r="E88" s="44"/>
      <c r="F88" s="178"/>
      <c r="G88" s="178"/>
      <c r="H88" s="178"/>
    </row>
    <row r="89" spans="3:8" ht="14.5">
      <c r="C89" s="178"/>
      <c r="D89" s="178"/>
      <c r="E89" s="44"/>
      <c r="F89" s="178"/>
      <c r="G89" s="178"/>
      <c r="H89" s="178"/>
    </row>
    <row r="90" spans="3:8" ht="14.5">
      <c r="C90" s="45"/>
      <c r="E90" s="46"/>
      <c r="F90" s="47"/>
      <c r="G90" s="48"/>
      <c r="H90" s="49"/>
    </row>
    <row r="91" spans="3:8" ht="14.5">
      <c r="C91" s="45"/>
      <c r="D91" s="51"/>
      <c r="E91" s="46"/>
      <c r="F91" s="47"/>
      <c r="G91" s="52"/>
      <c r="H91" s="49"/>
    </row>
    <row r="92" spans="3:8" ht="15" customHeight="1">
      <c r="C92" s="45"/>
      <c r="D92" s="51"/>
      <c r="E92" s="46"/>
      <c r="F92" s="47"/>
      <c r="G92" s="53"/>
      <c r="H92" s="49"/>
    </row>
    <row r="93" spans="3:8" ht="14.5">
      <c r="C93" s="45"/>
      <c r="D93" s="51"/>
      <c r="E93" s="46"/>
      <c r="F93" s="47"/>
      <c r="G93" s="53"/>
      <c r="H93" s="49"/>
    </row>
    <row r="94" spans="3:8" ht="14.5">
      <c r="C94" s="45"/>
      <c r="D94" s="51"/>
      <c r="E94" s="46"/>
      <c r="F94" s="47"/>
      <c r="G94" s="53"/>
      <c r="H94" s="49"/>
    </row>
    <row r="95" spans="3:8" ht="14.5">
      <c r="C95" s="45"/>
      <c r="E95" s="46"/>
      <c r="F95" s="47"/>
      <c r="G95" s="48"/>
      <c r="H95" s="49"/>
    </row>
    <row r="96" spans="3:8" ht="14.5">
      <c r="C96" s="45"/>
      <c r="D96" s="51"/>
      <c r="E96" s="46"/>
      <c r="F96" s="47"/>
      <c r="G96" s="53"/>
      <c r="H96" s="49"/>
    </row>
    <row r="97" spans="3:8" ht="14.5">
      <c r="C97" s="45"/>
      <c r="E97" s="46"/>
      <c r="F97" s="47"/>
      <c r="G97" s="48"/>
      <c r="H97" s="49"/>
    </row>
    <row r="98" spans="3:8" ht="14.5">
      <c r="C98" s="45"/>
      <c r="D98" s="51"/>
      <c r="E98" s="46"/>
      <c r="F98" s="47"/>
      <c r="G98" s="53"/>
      <c r="H98" s="49"/>
    </row>
    <row r="99" spans="3:8" ht="14.5">
      <c r="C99" s="45"/>
      <c r="D99" s="51"/>
      <c r="E99" s="46"/>
      <c r="F99" s="47"/>
      <c r="G99" s="53"/>
      <c r="H99" s="49"/>
    </row>
    <row r="100" spans="3:8" ht="14.25" customHeight="1">
      <c r="C100" s="45"/>
      <c r="D100" s="51"/>
      <c r="E100" s="46"/>
      <c r="F100" s="51"/>
      <c r="G100" s="53"/>
      <c r="H100" s="49"/>
    </row>
    <row r="101" spans="3:8" ht="14.5">
      <c r="C101" s="45"/>
      <c r="D101" s="51"/>
      <c r="E101" s="46"/>
      <c r="F101" s="54"/>
      <c r="G101" s="53"/>
      <c r="H101" s="49"/>
    </row>
    <row r="102" spans="3:8" ht="14.5">
      <c r="C102" s="45"/>
      <c r="D102" s="51"/>
      <c r="E102" s="46"/>
      <c r="F102" s="54"/>
      <c r="G102" s="53"/>
      <c r="H102" s="49"/>
    </row>
    <row r="103" spans="3:8" ht="14.5">
      <c r="C103" s="45"/>
      <c r="D103" s="51"/>
      <c r="E103" s="46"/>
      <c r="F103" s="54"/>
      <c r="G103" s="53"/>
      <c r="H103" s="49"/>
    </row>
    <row r="104" spans="3:8" ht="14.5">
      <c r="C104" s="179"/>
      <c r="D104" s="179"/>
      <c r="E104" s="179"/>
      <c r="F104" s="179"/>
      <c r="G104" s="179"/>
      <c r="H104" s="49"/>
    </row>
    <row r="105" spans="3:8" ht="6" customHeight="1"/>
    <row r="107" spans="3:8">
      <c r="G107" s="55"/>
      <c r="H107" s="56"/>
    </row>
  </sheetData>
  <mergeCells count="47">
    <mergeCell ref="C2:H5"/>
    <mergeCell ref="C7:H7"/>
    <mergeCell ref="C8:C9"/>
    <mergeCell ref="D8:D9"/>
    <mergeCell ref="E8:E9"/>
    <mergeCell ref="F8:F9"/>
    <mergeCell ref="G8:G9"/>
    <mergeCell ref="H8:H9"/>
    <mergeCell ref="C20:G20"/>
    <mergeCell ref="C22:H22"/>
    <mergeCell ref="C23:C24"/>
    <mergeCell ref="D23:D24"/>
    <mergeCell ref="E23:E24"/>
    <mergeCell ref="F23:F24"/>
    <mergeCell ref="G23:G24"/>
    <mergeCell ref="H23:H24"/>
    <mergeCell ref="C35:G35"/>
    <mergeCell ref="C37:H37"/>
    <mergeCell ref="C38:C39"/>
    <mergeCell ref="D38:D39"/>
    <mergeCell ref="E38:E39"/>
    <mergeCell ref="F38:F39"/>
    <mergeCell ref="G38:G39"/>
    <mergeCell ref="H38:H39"/>
    <mergeCell ref="C50:G50"/>
    <mergeCell ref="C52:H52"/>
    <mergeCell ref="C53:C54"/>
    <mergeCell ref="D53:D54"/>
    <mergeCell ref="E53:E54"/>
    <mergeCell ref="F53:F54"/>
    <mergeCell ref="G53:G54"/>
    <mergeCell ref="H53:H54"/>
    <mergeCell ref="C65:G65"/>
    <mergeCell ref="C66:C67"/>
    <mergeCell ref="D66:D67"/>
    <mergeCell ref="F66:F67"/>
    <mergeCell ref="G66:G67"/>
    <mergeCell ref="H88:H89"/>
    <mergeCell ref="C104:G104"/>
    <mergeCell ref="H66:H67"/>
    <mergeCell ref="C69:G69"/>
    <mergeCell ref="C83:G83"/>
    <mergeCell ref="C87:H87"/>
    <mergeCell ref="C88:C89"/>
    <mergeCell ref="D88:D89"/>
    <mergeCell ref="F88:F89"/>
    <mergeCell ref="G88:G89"/>
  </mergeCells>
  <pageMargins left="0.7" right="0.7" top="0.75" bottom="0.75" header="0.3" footer="0.3"/>
  <pageSetup scale="90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B1D1-0C40-4C5D-8D94-F8B4BC998BDE}">
  <sheetPr codeName="Sheet11"/>
  <dimension ref="C2:K87"/>
  <sheetViews>
    <sheetView showGridLines="0" zoomScale="85" zoomScaleNormal="85" workbookViewId="0">
      <selection activeCell="L52" sqref="L52"/>
    </sheetView>
  </sheetViews>
  <sheetFormatPr defaultColWidth="9.26953125" defaultRowHeight="13"/>
  <cols>
    <col min="1" max="2" width="7.7265625" style="20" customWidth="1"/>
    <col min="3" max="3" width="5.26953125" style="20" customWidth="1"/>
    <col min="4" max="4" width="41.7265625" style="20" customWidth="1"/>
    <col min="5" max="5" width="11.453125" style="20" bestFit="1" customWidth="1"/>
    <col min="6" max="6" width="8.54296875" style="20" customWidth="1"/>
    <col min="7" max="7" width="20.26953125" style="20" customWidth="1"/>
    <col min="8" max="8" width="16.7265625" style="20" bestFit="1" customWidth="1"/>
    <col min="9" max="9" width="1.453125" style="20" customWidth="1"/>
    <col min="10" max="10" width="9.26953125" style="20"/>
    <col min="11" max="11" width="11.7265625" style="20" bestFit="1" customWidth="1"/>
    <col min="12" max="16384" width="9.26953125" style="20"/>
  </cols>
  <sheetData>
    <row r="2" spans="3:11">
      <c r="C2" s="195" t="s">
        <v>74</v>
      </c>
      <c r="D2" s="196"/>
      <c r="E2" s="196"/>
      <c r="F2" s="196"/>
      <c r="G2" s="196"/>
      <c r="H2" s="196"/>
    </row>
    <row r="3" spans="3:11">
      <c r="C3" s="196"/>
      <c r="D3" s="196"/>
      <c r="E3" s="196"/>
      <c r="F3" s="196"/>
      <c r="G3" s="196"/>
      <c r="H3" s="196"/>
    </row>
    <row r="4" spans="3:11">
      <c r="C4" s="196"/>
      <c r="D4" s="196"/>
      <c r="E4" s="196"/>
      <c r="F4" s="196"/>
      <c r="G4" s="196"/>
      <c r="H4" s="196"/>
    </row>
    <row r="5" spans="3:11">
      <c r="C5" s="196"/>
      <c r="D5" s="196"/>
      <c r="E5" s="196"/>
      <c r="F5" s="196"/>
      <c r="G5" s="196"/>
      <c r="H5" s="196"/>
    </row>
    <row r="6" spans="3:11" ht="10" customHeight="1" thickBot="1"/>
    <row r="7" spans="3:11" ht="30.5" customHeight="1" thickBot="1">
      <c r="C7" s="210" t="s">
        <v>98</v>
      </c>
      <c r="D7" s="187"/>
      <c r="E7" s="187"/>
      <c r="F7" s="187"/>
      <c r="G7" s="187"/>
      <c r="H7" s="188"/>
    </row>
    <row r="8" spans="3:11" ht="15" customHeight="1">
      <c r="C8" s="189" t="s">
        <v>20</v>
      </c>
      <c r="D8" s="191" t="s">
        <v>21</v>
      </c>
      <c r="E8" s="191" t="s">
        <v>22</v>
      </c>
      <c r="F8" s="191" t="s">
        <v>23</v>
      </c>
      <c r="G8" s="191" t="s">
        <v>24</v>
      </c>
      <c r="H8" s="193" t="s">
        <v>25</v>
      </c>
    </row>
    <row r="9" spans="3:11" ht="13.9" customHeight="1" thickBot="1">
      <c r="C9" s="190"/>
      <c r="D9" s="192"/>
      <c r="E9" s="192"/>
      <c r="F9" s="192"/>
      <c r="G9" s="192"/>
      <c r="H9" s="194"/>
    </row>
    <row r="10" spans="3:11" ht="14.5">
      <c r="C10" s="21">
        <v>1</v>
      </c>
      <c r="D10" s="22" t="s">
        <v>102</v>
      </c>
      <c r="E10" s="23"/>
      <c r="F10" s="23"/>
      <c r="G10" s="24"/>
      <c r="H10" s="25">
        <f t="shared" ref="H10:H14" si="0">G10*E10</f>
        <v>0</v>
      </c>
      <c r="J10" s="26"/>
    </row>
    <row r="11" spans="3:11" ht="14.5">
      <c r="C11" s="21">
        <f>1+C10</f>
        <v>2</v>
      </c>
      <c r="D11" s="27" t="s">
        <v>103</v>
      </c>
      <c r="E11" s="23"/>
      <c r="F11" s="23"/>
      <c r="G11" s="24"/>
      <c r="H11" s="25">
        <f t="shared" si="0"/>
        <v>0</v>
      </c>
      <c r="J11" s="26"/>
    </row>
    <row r="12" spans="3:11" ht="14.5">
      <c r="C12" s="21">
        <f t="shared" ref="C12:C14" si="1">1+C11</f>
        <v>3</v>
      </c>
      <c r="D12" s="27" t="s">
        <v>104</v>
      </c>
      <c r="E12" s="23"/>
      <c r="F12" s="23"/>
      <c r="G12" s="28"/>
      <c r="H12" s="25">
        <f t="shared" si="0"/>
        <v>0</v>
      </c>
      <c r="J12" s="26"/>
    </row>
    <row r="13" spans="3:11" ht="14.5">
      <c r="C13" s="21">
        <f t="shared" si="1"/>
        <v>4</v>
      </c>
      <c r="D13" s="27" t="s">
        <v>105</v>
      </c>
      <c r="E13" s="23"/>
      <c r="F13" s="23"/>
      <c r="G13" s="28"/>
      <c r="H13" s="25">
        <f>G13*E13</f>
        <v>0</v>
      </c>
      <c r="J13" s="26"/>
    </row>
    <row r="14" spans="3:11" ht="15" thickBot="1">
      <c r="C14" s="21">
        <f t="shared" si="1"/>
        <v>5</v>
      </c>
      <c r="D14" s="27" t="s">
        <v>106</v>
      </c>
      <c r="E14" s="23"/>
      <c r="F14" s="23"/>
      <c r="G14" s="24"/>
      <c r="H14" s="25">
        <f t="shared" si="0"/>
        <v>0</v>
      </c>
      <c r="J14" s="26"/>
    </row>
    <row r="15" spans="3:11" ht="16.5" thickBot="1">
      <c r="C15" s="184" t="s">
        <v>13</v>
      </c>
      <c r="D15" s="185"/>
      <c r="E15" s="185"/>
      <c r="F15" s="185"/>
      <c r="G15" s="185"/>
      <c r="H15" s="40">
        <f>SUM(H10:H14)</f>
        <v>0</v>
      </c>
      <c r="I15" s="26">
        <f>H15</f>
        <v>0</v>
      </c>
      <c r="J15" s="26"/>
      <c r="K15" s="41"/>
    </row>
    <row r="16" spans="3:11" ht="13.5" thickBot="1"/>
    <row r="17" spans="3:11" ht="18" customHeight="1" thickBot="1">
      <c r="C17" s="210" t="s">
        <v>99</v>
      </c>
      <c r="D17" s="187"/>
      <c r="E17" s="187"/>
      <c r="F17" s="187"/>
      <c r="G17" s="187"/>
      <c r="H17" s="188"/>
    </row>
    <row r="18" spans="3:11" ht="15" customHeight="1">
      <c r="C18" s="189" t="s">
        <v>20</v>
      </c>
      <c r="D18" s="191" t="s">
        <v>21</v>
      </c>
      <c r="E18" s="191" t="s">
        <v>22</v>
      </c>
      <c r="F18" s="191" t="s">
        <v>23</v>
      </c>
      <c r="G18" s="191" t="s">
        <v>24</v>
      </c>
      <c r="H18" s="193" t="s">
        <v>25</v>
      </c>
    </row>
    <row r="19" spans="3:11" ht="13.9" customHeight="1" thickBot="1">
      <c r="C19" s="190"/>
      <c r="D19" s="192"/>
      <c r="E19" s="192"/>
      <c r="F19" s="192"/>
      <c r="G19" s="192"/>
      <c r="H19" s="194"/>
    </row>
    <row r="20" spans="3:11" ht="14.5">
      <c r="C20" s="21">
        <v>1</v>
      </c>
      <c r="D20" s="22" t="s">
        <v>102</v>
      </c>
      <c r="E20" s="23"/>
      <c r="F20" s="23"/>
      <c r="G20" s="24"/>
      <c r="H20" s="25">
        <f>G20*E20</f>
        <v>0</v>
      </c>
      <c r="J20" s="26"/>
    </row>
    <row r="21" spans="3:11" ht="14.5">
      <c r="C21" s="21">
        <f>1+C20</f>
        <v>2</v>
      </c>
      <c r="D21" s="27" t="s">
        <v>103</v>
      </c>
      <c r="E21" s="23"/>
      <c r="F21" s="23"/>
      <c r="G21" s="28"/>
      <c r="H21" s="25">
        <f>G21*E21</f>
        <v>0</v>
      </c>
      <c r="J21" s="26"/>
    </row>
    <row r="22" spans="3:11" ht="14.5">
      <c r="C22" s="21">
        <f t="shared" ref="C22:C24" si="2">1+C21</f>
        <v>3</v>
      </c>
      <c r="D22" s="27" t="s">
        <v>104</v>
      </c>
      <c r="E22" s="23"/>
      <c r="F22" s="23"/>
      <c r="G22" s="28"/>
      <c r="H22" s="25">
        <f>G22*E22</f>
        <v>0</v>
      </c>
      <c r="J22" s="26"/>
    </row>
    <row r="23" spans="3:11" ht="14.5">
      <c r="C23" s="21">
        <f t="shared" si="2"/>
        <v>4</v>
      </c>
      <c r="D23" s="27" t="s">
        <v>105</v>
      </c>
      <c r="E23" s="23"/>
      <c r="F23" s="23"/>
      <c r="G23" s="28"/>
      <c r="H23" s="25">
        <f>G23*E23</f>
        <v>0</v>
      </c>
      <c r="J23" s="26"/>
    </row>
    <row r="24" spans="3:11" ht="15" thickBot="1">
      <c r="C24" s="21">
        <f t="shared" si="2"/>
        <v>5</v>
      </c>
      <c r="D24" s="27" t="s">
        <v>106</v>
      </c>
      <c r="E24" s="23"/>
      <c r="F24" s="23"/>
      <c r="G24" s="24"/>
      <c r="H24" s="25">
        <f t="shared" ref="H24" si="3">G24*E24</f>
        <v>0</v>
      </c>
      <c r="J24" s="26"/>
    </row>
    <row r="25" spans="3:11" ht="16.5" thickBot="1">
      <c r="C25" s="184" t="s">
        <v>13</v>
      </c>
      <c r="D25" s="185"/>
      <c r="E25" s="185"/>
      <c r="F25" s="185"/>
      <c r="G25" s="185"/>
      <c r="H25" s="40">
        <f>SUM(H20:H24)</f>
        <v>0</v>
      </c>
      <c r="I25" s="26">
        <f>H25</f>
        <v>0</v>
      </c>
      <c r="J25" s="26"/>
      <c r="K25" s="41"/>
    </row>
    <row r="26" spans="3:11" ht="13.5" thickBot="1">
      <c r="H26" s="42"/>
    </row>
    <row r="27" spans="3:11" ht="18" customHeight="1" thickBot="1">
      <c r="C27" s="210" t="s">
        <v>100</v>
      </c>
      <c r="D27" s="187"/>
      <c r="E27" s="187"/>
      <c r="F27" s="187"/>
      <c r="G27" s="187"/>
      <c r="H27" s="188"/>
    </row>
    <row r="28" spans="3:11" ht="15" customHeight="1">
      <c r="C28" s="189" t="s">
        <v>20</v>
      </c>
      <c r="D28" s="191" t="s">
        <v>21</v>
      </c>
      <c r="E28" s="191" t="s">
        <v>22</v>
      </c>
      <c r="F28" s="191" t="s">
        <v>23</v>
      </c>
      <c r="G28" s="191" t="s">
        <v>24</v>
      </c>
      <c r="H28" s="193" t="s">
        <v>25</v>
      </c>
    </row>
    <row r="29" spans="3:11" ht="13.9" customHeight="1" thickBot="1">
      <c r="C29" s="190"/>
      <c r="D29" s="192"/>
      <c r="E29" s="192"/>
      <c r="F29" s="192"/>
      <c r="G29" s="192"/>
      <c r="H29" s="194"/>
    </row>
    <row r="30" spans="3:11" ht="14.5">
      <c r="C30" s="21">
        <v>1</v>
      </c>
      <c r="D30" s="22" t="s">
        <v>102</v>
      </c>
      <c r="E30" s="23"/>
      <c r="F30" s="23"/>
      <c r="G30" s="24"/>
      <c r="H30" s="25">
        <f>G30*E30</f>
        <v>0</v>
      </c>
      <c r="J30" s="26"/>
    </row>
    <row r="31" spans="3:11" ht="14.5">
      <c r="C31" s="21">
        <f>1+C30</f>
        <v>2</v>
      </c>
      <c r="D31" s="27" t="s">
        <v>103</v>
      </c>
      <c r="E31" s="23"/>
      <c r="F31" s="23"/>
      <c r="G31" s="24"/>
      <c r="H31" s="25">
        <f>G31*E31</f>
        <v>0</v>
      </c>
      <c r="J31" s="26"/>
    </row>
    <row r="32" spans="3:11" ht="14.5">
      <c r="C32" s="21">
        <f t="shared" ref="C32:C34" si="4">1+C31</f>
        <v>3</v>
      </c>
      <c r="D32" s="27" t="s">
        <v>104</v>
      </c>
      <c r="E32" s="23"/>
      <c r="F32" s="23"/>
      <c r="G32" s="28"/>
      <c r="H32" s="25">
        <f>G32*E32</f>
        <v>0</v>
      </c>
      <c r="J32" s="26"/>
    </row>
    <row r="33" spans="3:11" ht="14.5">
      <c r="C33" s="21">
        <f t="shared" si="4"/>
        <v>4</v>
      </c>
      <c r="D33" s="27" t="s">
        <v>105</v>
      </c>
      <c r="E33" s="23"/>
      <c r="F33" s="23"/>
      <c r="G33" s="28"/>
      <c r="H33" s="25">
        <f>G33*E33</f>
        <v>0</v>
      </c>
      <c r="J33" s="26"/>
    </row>
    <row r="34" spans="3:11" ht="15" thickBot="1">
      <c r="C34" s="21">
        <f t="shared" si="4"/>
        <v>5</v>
      </c>
      <c r="D34" s="27" t="s">
        <v>106</v>
      </c>
      <c r="E34" s="23"/>
      <c r="F34" s="23"/>
      <c r="G34" s="24"/>
      <c r="H34" s="25">
        <f t="shared" ref="H34" si="5">G34*E34</f>
        <v>0</v>
      </c>
      <c r="J34" s="26"/>
    </row>
    <row r="35" spans="3:11" ht="16.5" thickBot="1">
      <c r="C35" s="184" t="s">
        <v>13</v>
      </c>
      <c r="D35" s="185"/>
      <c r="E35" s="185"/>
      <c r="F35" s="185"/>
      <c r="G35" s="185"/>
      <c r="H35" s="40">
        <f>SUM(H30:H34)</f>
        <v>0</v>
      </c>
      <c r="I35" s="26">
        <f>H35</f>
        <v>0</v>
      </c>
      <c r="J35" s="26"/>
      <c r="K35" s="41"/>
    </row>
    <row r="36" spans="3:11" ht="13.5" thickBot="1">
      <c r="H36" s="43"/>
    </row>
    <row r="37" spans="3:11" ht="18" customHeight="1" thickBot="1">
      <c r="C37" s="210" t="s">
        <v>101</v>
      </c>
      <c r="D37" s="187"/>
      <c r="E37" s="187"/>
      <c r="F37" s="187"/>
      <c r="G37" s="187"/>
      <c r="H37" s="188"/>
    </row>
    <row r="38" spans="3:11" ht="15" customHeight="1">
      <c r="C38" s="189" t="s">
        <v>20</v>
      </c>
      <c r="D38" s="191" t="s">
        <v>21</v>
      </c>
      <c r="E38" s="191" t="s">
        <v>22</v>
      </c>
      <c r="F38" s="191" t="s">
        <v>23</v>
      </c>
      <c r="G38" s="191" t="s">
        <v>24</v>
      </c>
      <c r="H38" s="193" t="s">
        <v>25</v>
      </c>
    </row>
    <row r="39" spans="3:11" ht="13.9" customHeight="1" thickBot="1">
      <c r="C39" s="190"/>
      <c r="D39" s="192"/>
      <c r="E39" s="192"/>
      <c r="F39" s="192"/>
      <c r="G39" s="192"/>
      <c r="H39" s="194"/>
    </row>
    <row r="40" spans="3:11" ht="14.5">
      <c r="C40" s="21">
        <v>1</v>
      </c>
      <c r="D40" s="22" t="s">
        <v>102</v>
      </c>
      <c r="E40" s="23"/>
      <c r="F40" s="23"/>
      <c r="G40" s="24"/>
      <c r="H40" s="25">
        <f>G40*E40</f>
        <v>0</v>
      </c>
      <c r="J40" s="26"/>
    </row>
    <row r="41" spans="3:11" ht="14.5">
      <c r="C41" s="21">
        <f>1+C40</f>
        <v>2</v>
      </c>
      <c r="D41" s="27" t="s">
        <v>103</v>
      </c>
      <c r="E41" s="23"/>
      <c r="F41" s="23"/>
      <c r="G41" s="28"/>
      <c r="H41" s="25">
        <f>G41*E41</f>
        <v>0</v>
      </c>
      <c r="J41" s="26"/>
    </row>
    <row r="42" spans="3:11" ht="14.5">
      <c r="C42" s="21">
        <f t="shared" ref="C42:C44" si="6">1+C41</f>
        <v>3</v>
      </c>
      <c r="D42" s="27" t="s">
        <v>104</v>
      </c>
      <c r="E42" s="23"/>
      <c r="F42" s="23"/>
      <c r="G42" s="28"/>
      <c r="H42" s="25">
        <f>G42*E42</f>
        <v>0</v>
      </c>
      <c r="J42" s="26"/>
    </row>
    <row r="43" spans="3:11" ht="14.5">
      <c r="C43" s="21">
        <f t="shared" si="6"/>
        <v>4</v>
      </c>
      <c r="D43" s="27" t="s">
        <v>105</v>
      </c>
      <c r="E43" s="23"/>
      <c r="F43" s="23"/>
      <c r="G43" s="28"/>
      <c r="H43" s="25">
        <f>G43*E43</f>
        <v>0</v>
      </c>
      <c r="J43" s="26"/>
    </row>
    <row r="44" spans="3:11" ht="15" thickBot="1">
      <c r="C44" s="21">
        <f t="shared" si="6"/>
        <v>5</v>
      </c>
      <c r="D44" s="27" t="s">
        <v>106</v>
      </c>
      <c r="E44" s="23"/>
      <c r="F44" s="23"/>
      <c r="G44" s="24"/>
      <c r="H44" s="25">
        <f t="shared" ref="H44" si="7">G44*E44</f>
        <v>0</v>
      </c>
      <c r="J44" s="26"/>
    </row>
    <row r="45" spans="3:11" ht="16.5" thickBot="1">
      <c r="C45" s="184" t="s">
        <v>13</v>
      </c>
      <c r="D45" s="185"/>
      <c r="E45" s="185"/>
      <c r="F45" s="185"/>
      <c r="G45" s="185"/>
      <c r="H45" s="40">
        <f>SUM(H40:H44)</f>
        <v>0</v>
      </c>
      <c r="I45" s="26">
        <f>H45</f>
        <v>0</v>
      </c>
      <c r="J45" s="26"/>
      <c r="K45" s="41"/>
    </row>
    <row r="46" spans="3:11" ht="15" customHeight="1">
      <c r="C46" s="178"/>
      <c r="D46" s="178"/>
      <c r="E46" s="44"/>
      <c r="F46" s="178"/>
      <c r="G46" s="178"/>
      <c r="H46" s="178"/>
    </row>
    <row r="47" spans="3:11" ht="14.5">
      <c r="C47" s="178"/>
      <c r="D47" s="178"/>
      <c r="E47" s="44"/>
      <c r="F47" s="178"/>
      <c r="G47" s="178"/>
      <c r="H47" s="178"/>
    </row>
    <row r="48" spans="3:11" ht="15" thickBot="1">
      <c r="C48" s="45"/>
      <c r="E48" s="46"/>
      <c r="F48" s="47"/>
      <c r="G48" s="48"/>
      <c r="H48" s="49"/>
    </row>
    <row r="49" spans="3:8" ht="21.4" customHeight="1" thickBot="1">
      <c r="C49" s="180" t="s">
        <v>27</v>
      </c>
      <c r="D49" s="181"/>
      <c r="E49" s="181"/>
      <c r="F49" s="181"/>
      <c r="G49" s="182"/>
      <c r="H49" s="50">
        <f>SUM(I:I)</f>
        <v>0</v>
      </c>
    </row>
    <row r="50" spans="3:8" ht="14.5">
      <c r="C50" s="45"/>
      <c r="E50" s="46"/>
      <c r="F50" s="47"/>
      <c r="G50" s="48"/>
      <c r="H50" s="49"/>
    </row>
    <row r="51" spans="3:8" ht="15" customHeight="1">
      <c r="C51" s="45"/>
      <c r="E51" s="46"/>
      <c r="F51" s="47"/>
      <c r="G51" s="48"/>
      <c r="H51" s="49"/>
    </row>
    <row r="52" spans="3:8" ht="14.5">
      <c r="C52" s="45"/>
      <c r="E52" s="46"/>
      <c r="F52" s="47"/>
      <c r="G52" s="48"/>
      <c r="H52" s="49"/>
    </row>
    <row r="53" spans="3:8" ht="14.5">
      <c r="C53" s="45"/>
      <c r="E53" s="46"/>
      <c r="F53" s="47"/>
      <c r="G53" s="48"/>
      <c r="H53" s="49"/>
    </row>
    <row r="54" spans="3:8" ht="14.5">
      <c r="C54" s="45"/>
      <c r="E54" s="46"/>
      <c r="F54" s="47"/>
      <c r="G54" s="48"/>
      <c r="H54" s="49"/>
    </row>
    <row r="55" spans="3:8" ht="14.5">
      <c r="C55" s="45"/>
      <c r="E55" s="46"/>
      <c r="F55" s="47"/>
      <c r="G55" s="48"/>
      <c r="H55" s="49"/>
    </row>
    <row r="56" spans="3:8" ht="14.5">
      <c r="C56" s="45"/>
      <c r="D56" s="51"/>
      <c r="E56" s="46"/>
      <c r="F56" s="47"/>
      <c r="G56" s="52"/>
      <c r="H56" s="49"/>
    </row>
    <row r="57" spans="3:8" ht="14.5">
      <c r="C57" s="45"/>
      <c r="D57" s="51"/>
      <c r="E57" s="46"/>
      <c r="F57" s="47"/>
      <c r="G57" s="53"/>
      <c r="H57" s="49"/>
    </row>
    <row r="58" spans="3:8" ht="14.25" customHeight="1">
      <c r="C58" s="45"/>
      <c r="D58" s="51"/>
      <c r="E58" s="46"/>
      <c r="F58" s="47"/>
      <c r="G58" s="53"/>
      <c r="H58" s="49"/>
    </row>
    <row r="59" spans="3:8" ht="14.5">
      <c r="C59" s="45"/>
      <c r="D59" s="51"/>
      <c r="E59" s="46"/>
      <c r="F59" s="47"/>
      <c r="G59" s="53"/>
      <c r="H59" s="49"/>
    </row>
    <row r="60" spans="3:8" ht="14.5">
      <c r="C60" s="45"/>
      <c r="D60" s="51"/>
      <c r="E60" s="46"/>
      <c r="F60" s="47"/>
      <c r="G60" s="53"/>
      <c r="H60" s="49"/>
    </row>
    <row r="61" spans="3:8" ht="14.5">
      <c r="C61" s="45"/>
      <c r="D61" s="51"/>
      <c r="E61" s="46"/>
      <c r="F61" s="47"/>
      <c r="G61" s="53"/>
      <c r="H61" s="49"/>
    </row>
    <row r="62" spans="3:8" ht="14.5">
      <c r="C62" s="45"/>
      <c r="D62" s="51"/>
      <c r="E62" s="46"/>
      <c r="F62" s="51"/>
      <c r="G62" s="53"/>
      <c r="H62" s="49"/>
    </row>
    <row r="63" spans="3:8" ht="14.5">
      <c r="C63" s="179"/>
      <c r="D63" s="179"/>
      <c r="E63" s="179"/>
      <c r="F63" s="179"/>
      <c r="G63" s="179"/>
      <c r="H63" s="49"/>
    </row>
    <row r="64" spans="3:8" ht="6" customHeight="1"/>
    <row r="67" spans="3:8" ht="18" customHeight="1">
      <c r="C67" s="183"/>
      <c r="D67" s="183"/>
      <c r="E67" s="183"/>
      <c r="F67" s="183"/>
      <c r="G67" s="183"/>
      <c r="H67" s="183"/>
    </row>
    <row r="68" spans="3:8" ht="15" customHeight="1">
      <c r="C68" s="178"/>
      <c r="D68" s="178"/>
      <c r="E68" s="44"/>
      <c r="F68" s="178"/>
      <c r="G68" s="178"/>
      <c r="H68" s="178"/>
    </row>
    <row r="69" spans="3:8" ht="14.5">
      <c r="C69" s="178"/>
      <c r="D69" s="178"/>
      <c r="E69" s="44"/>
      <c r="F69" s="178"/>
      <c r="G69" s="178"/>
      <c r="H69" s="178"/>
    </row>
    <row r="70" spans="3:8" ht="14.5">
      <c r="C70" s="45"/>
      <c r="E70" s="46"/>
      <c r="F70" s="47"/>
      <c r="G70" s="48"/>
      <c r="H70" s="49"/>
    </row>
    <row r="71" spans="3:8" ht="14.5">
      <c r="C71" s="45"/>
      <c r="D71" s="51"/>
      <c r="E71" s="46"/>
      <c r="F71" s="47"/>
      <c r="G71" s="52"/>
      <c r="H71" s="49"/>
    </row>
    <row r="72" spans="3:8" ht="15" customHeight="1">
      <c r="C72" s="45"/>
      <c r="D72" s="51"/>
      <c r="E72" s="46"/>
      <c r="F72" s="47"/>
      <c r="G72" s="53"/>
      <c r="H72" s="49"/>
    </row>
    <row r="73" spans="3:8" ht="14.5">
      <c r="C73" s="45"/>
      <c r="D73" s="51"/>
      <c r="E73" s="46"/>
      <c r="F73" s="47"/>
      <c r="G73" s="53"/>
      <c r="H73" s="49"/>
    </row>
    <row r="74" spans="3:8" ht="14.5">
      <c r="C74" s="45"/>
      <c r="D74" s="51"/>
      <c r="E74" s="46"/>
      <c r="F74" s="47"/>
      <c r="G74" s="53"/>
      <c r="H74" s="49"/>
    </row>
    <row r="75" spans="3:8" ht="14.5">
      <c r="C75" s="45"/>
      <c r="E75" s="46"/>
      <c r="F75" s="47"/>
      <c r="G75" s="48"/>
      <c r="H75" s="49"/>
    </row>
    <row r="76" spans="3:8" ht="14.5">
      <c r="C76" s="45"/>
      <c r="D76" s="51"/>
      <c r="E76" s="46"/>
      <c r="F76" s="47"/>
      <c r="G76" s="53"/>
      <c r="H76" s="49"/>
    </row>
    <row r="77" spans="3:8" ht="14.5">
      <c r="C77" s="45"/>
      <c r="E77" s="46"/>
      <c r="F77" s="47"/>
      <c r="G77" s="48"/>
      <c r="H77" s="49"/>
    </row>
    <row r="78" spans="3:8" ht="14.5">
      <c r="C78" s="45"/>
      <c r="D78" s="51"/>
      <c r="E78" s="46"/>
      <c r="F78" s="47"/>
      <c r="G78" s="53"/>
      <c r="H78" s="49"/>
    </row>
    <row r="79" spans="3:8" ht="14.5">
      <c r="C79" s="45"/>
      <c r="D79" s="51"/>
      <c r="E79" s="46"/>
      <c r="F79" s="47"/>
      <c r="G79" s="53"/>
      <c r="H79" s="49"/>
    </row>
    <row r="80" spans="3:8" ht="14.25" customHeight="1">
      <c r="C80" s="45"/>
      <c r="D80" s="51"/>
      <c r="E80" s="46"/>
      <c r="F80" s="51"/>
      <c r="G80" s="53"/>
      <c r="H80" s="49"/>
    </row>
    <row r="81" spans="3:8" ht="14.5">
      <c r="C81" s="45"/>
      <c r="D81" s="51"/>
      <c r="E81" s="46"/>
      <c r="F81" s="54"/>
      <c r="G81" s="53"/>
      <c r="H81" s="49"/>
    </row>
    <row r="82" spans="3:8" ht="14.5">
      <c r="C82" s="45"/>
      <c r="D82" s="51"/>
      <c r="E82" s="46"/>
      <c r="F82" s="54"/>
      <c r="G82" s="53"/>
      <c r="H82" s="49"/>
    </row>
    <row r="83" spans="3:8" ht="14.5">
      <c r="C83" s="45"/>
      <c r="D83" s="51"/>
      <c r="E83" s="46"/>
      <c r="F83" s="54"/>
      <c r="G83" s="53"/>
      <c r="H83" s="49"/>
    </row>
    <row r="84" spans="3:8" ht="14.5">
      <c r="C84" s="179"/>
      <c r="D84" s="179"/>
      <c r="E84" s="179"/>
      <c r="F84" s="179"/>
      <c r="G84" s="179"/>
      <c r="H84" s="49"/>
    </row>
    <row r="85" spans="3:8" ht="6" customHeight="1"/>
    <row r="87" spans="3:8">
      <c r="G87" s="55"/>
      <c r="H87" s="56"/>
    </row>
  </sheetData>
  <mergeCells count="47">
    <mergeCell ref="C2:H5"/>
    <mergeCell ref="C7:H7"/>
    <mergeCell ref="C8:C9"/>
    <mergeCell ref="D8:D9"/>
    <mergeCell ref="E8:E9"/>
    <mergeCell ref="F8:F9"/>
    <mergeCell ref="G8:G9"/>
    <mergeCell ref="H8:H9"/>
    <mergeCell ref="C15:G15"/>
    <mergeCell ref="C17:H17"/>
    <mergeCell ref="C18:C19"/>
    <mergeCell ref="D18:D19"/>
    <mergeCell ref="E18:E19"/>
    <mergeCell ref="F18:F19"/>
    <mergeCell ref="G18:G19"/>
    <mergeCell ref="H18:H19"/>
    <mergeCell ref="C25:G25"/>
    <mergeCell ref="C27:H27"/>
    <mergeCell ref="C28:C29"/>
    <mergeCell ref="D28:D29"/>
    <mergeCell ref="E28:E29"/>
    <mergeCell ref="F28:F29"/>
    <mergeCell ref="G28:G29"/>
    <mergeCell ref="H28:H29"/>
    <mergeCell ref="C35:G35"/>
    <mergeCell ref="C37:H37"/>
    <mergeCell ref="C38:C39"/>
    <mergeCell ref="D38:D39"/>
    <mergeCell ref="E38:E39"/>
    <mergeCell ref="F38:F39"/>
    <mergeCell ref="G38:G39"/>
    <mergeCell ref="H38:H39"/>
    <mergeCell ref="C45:G45"/>
    <mergeCell ref="C46:C47"/>
    <mergeCell ref="D46:D47"/>
    <mergeCell ref="F46:F47"/>
    <mergeCell ref="G46:G47"/>
    <mergeCell ref="H68:H69"/>
    <mergeCell ref="C84:G84"/>
    <mergeCell ref="H46:H47"/>
    <mergeCell ref="C49:G49"/>
    <mergeCell ref="C63:G63"/>
    <mergeCell ref="C67:H67"/>
    <mergeCell ref="C68:C69"/>
    <mergeCell ref="D68:D69"/>
    <mergeCell ref="F68:F69"/>
    <mergeCell ref="G68:G69"/>
  </mergeCells>
  <pageMargins left="0.7" right="0.7" top="0.75" bottom="0.75" header="0.3" footer="0.3"/>
  <pageSetup scale="90"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C92A-BF9B-4DB0-86AC-1E4FB73082C3}">
  <dimension ref="C2:K87"/>
  <sheetViews>
    <sheetView showGridLines="0" zoomScale="85" zoomScaleNormal="85" workbookViewId="0">
      <selection activeCell="C2" sqref="C2:H49"/>
    </sheetView>
  </sheetViews>
  <sheetFormatPr defaultColWidth="9.26953125" defaultRowHeight="13"/>
  <cols>
    <col min="1" max="2" width="7.7265625" style="20" customWidth="1"/>
    <col min="3" max="3" width="5.26953125" style="20" customWidth="1"/>
    <col min="4" max="4" width="41.7265625" style="20" customWidth="1"/>
    <col min="5" max="5" width="11.453125" style="20" bestFit="1" customWidth="1"/>
    <col min="6" max="6" width="8.54296875" style="20" customWidth="1"/>
    <col min="7" max="7" width="20.26953125" style="20" customWidth="1"/>
    <col min="8" max="8" width="16.7265625" style="20" bestFit="1" customWidth="1"/>
    <col min="9" max="9" width="1.453125" style="20" customWidth="1"/>
    <col min="10" max="10" width="9.26953125" style="20"/>
    <col min="11" max="11" width="11.7265625" style="20" bestFit="1" customWidth="1"/>
    <col min="12" max="16384" width="9.26953125" style="20"/>
  </cols>
  <sheetData>
    <row r="2" spans="3:11">
      <c r="C2" s="195" t="s">
        <v>74</v>
      </c>
      <c r="D2" s="196"/>
      <c r="E2" s="196"/>
      <c r="F2" s="196"/>
      <c r="G2" s="196"/>
      <c r="H2" s="196"/>
    </row>
    <row r="3" spans="3:11">
      <c r="C3" s="196"/>
      <c r="D3" s="196"/>
      <c r="E3" s="196"/>
      <c r="F3" s="196"/>
      <c r="G3" s="196"/>
      <c r="H3" s="196"/>
    </row>
    <row r="4" spans="3:11">
      <c r="C4" s="196"/>
      <c r="D4" s="196"/>
      <c r="E4" s="196"/>
      <c r="F4" s="196"/>
      <c r="G4" s="196"/>
      <c r="H4" s="196"/>
    </row>
    <row r="5" spans="3:11">
      <c r="C5" s="196"/>
      <c r="D5" s="196"/>
      <c r="E5" s="196"/>
      <c r="F5" s="196"/>
      <c r="G5" s="196"/>
      <c r="H5" s="196"/>
    </row>
    <row r="6" spans="3:11" ht="10" customHeight="1" thickBot="1"/>
    <row r="7" spans="3:11" ht="30.5" customHeight="1" thickBot="1">
      <c r="C7" s="210" t="s">
        <v>120</v>
      </c>
      <c r="D7" s="187"/>
      <c r="E7" s="187"/>
      <c r="F7" s="187"/>
      <c r="G7" s="187"/>
      <c r="H7" s="188"/>
    </row>
    <row r="8" spans="3:11" ht="15" customHeight="1">
      <c r="C8" s="189" t="s">
        <v>20</v>
      </c>
      <c r="D8" s="191" t="s">
        <v>21</v>
      </c>
      <c r="E8" s="191" t="s">
        <v>22</v>
      </c>
      <c r="F8" s="191" t="s">
        <v>23</v>
      </c>
      <c r="G8" s="191" t="s">
        <v>24</v>
      </c>
      <c r="H8" s="193" t="s">
        <v>25</v>
      </c>
    </row>
    <row r="9" spans="3:11" ht="13.9" customHeight="1" thickBot="1">
      <c r="C9" s="190"/>
      <c r="D9" s="192"/>
      <c r="E9" s="192"/>
      <c r="F9" s="192"/>
      <c r="G9" s="192"/>
      <c r="H9" s="194"/>
    </row>
    <row r="10" spans="3:11" ht="14.5">
      <c r="C10" s="21">
        <v>1</v>
      </c>
      <c r="D10" s="22" t="s">
        <v>115</v>
      </c>
      <c r="E10" s="23"/>
      <c r="F10" s="23"/>
      <c r="G10" s="24"/>
      <c r="H10" s="25">
        <f t="shared" ref="H10:H14" si="0">G10*E10</f>
        <v>0</v>
      </c>
      <c r="J10" s="26"/>
    </row>
    <row r="11" spans="3:11" ht="14.5">
      <c r="C11" s="21">
        <f>1+C10</f>
        <v>2</v>
      </c>
      <c r="D11" s="27" t="s">
        <v>116</v>
      </c>
      <c r="E11" s="23"/>
      <c r="F11" s="23"/>
      <c r="G11" s="24"/>
      <c r="H11" s="25">
        <f t="shared" si="0"/>
        <v>0</v>
      </c>
      <c r="J11" s="26"/>
    </row>
    <row r="12" spans="3:11" ht="14.5">
      <c r="C12" s="21">
        <f t="shared" ref="C12:C14" si="1">1+C11</f>
        <v>3</v>
      </c>
      <c r="D12" s="27" t="s">
        <v>117</v>
      </c>
      <c r="E12" s="23"/>
      <c r="F12" s="23"/>
      <c r="G12" s="28"/>
      <c r="H12" s="25">
        <f t="shared" si="0"/>
        <v>0</v>
      </c>
      <c r="J12" s="26"/>
    </row>
    <row r="13" spans="3:11" ht="14.5">
      <c r="C13" s="21">
        <f t="shared" si="1"/>
        <v>4</v>
      </c>
      <c r="D13" s="27" t="s">
        <v>118</v>
      </c>
      <c r="E13" s="23"/>
      <c r="F13" s="23"/>
      <c r="G13" s="28"/>
      <c r="H13" s="25">
        <f>G13*E13</f>
        <v>0</v>
      </c>
      <c r="J13" s="26"/>
    </row>
    <row r="14" spans="3:11" ht="15" thickBot="1">
      <c r="C14" s="21">
        <f t="shared" si="1"/>
        <v>5</v>
      </c>
      <c r="D14" s="27" t="s">
        <v>119</v>
      </c>
      <c r="E14" s="23"/>
      <c r="F14" s="23"/>
      <c r="G14" s="24"/>
      <c r="H14" s="25">
        <f t="shared" si="0"/>
        <v>0</v>
      </c>
      <c r="J14" s="26"/>
    </row>
    <row r="15" spans="3:11" ht="16.5" thickBot="1">
      <c r="C15" s="184" t="s">
        <v>13</v>
      </c>
      <c r="D15" s="185"/>
      <c r="E15" s="185"/>
      <c r="F15" s="185"/>
      <c r="G15" s="185"/>
      <c r="H15" s="40">
        <f>SUM(H10:H14)</f>
        <v>0</v>
      </c>
      <c r="I15" s="26">
        <f>H15</f>
        <v>0</v>
      </c>
      <c r="J15" s="26"/>
      <c r="K15" s="41"/>
    </row>
    <row r="16" spans="3:11" ht="13.5" thickBot="1"/>
    <row r="17" spans="3:11" ht="18" customHeight="1" thickBot="1">
      <c r="C17" s="210" t="s">
        <v>121</v>
      </c>
      <c r="D17" s="187"/>
      <c r="E17" s="187"/>
      <c r="F17" s="187"/>
      <c r="G17" s="187"/>
      <c r="H17" s="188"/>
    </row>
    <row r="18" spans="3:11" ht="15" customHeight="1">
      <c r="C18" s="189" t="s">
        <v>20</v>
      </c>
      <c r="D18" s="191" t="s">
        <v>21</v>
      </c>
      <c r="E18" s="191" t="s">
        <v>22</v>
      </c>
      <c r="F18" s="191" t="s">
        <v>23</v>
      </c>
      <c r="G18" s="191" t="s">
        <v>24</v>
      </c>
      <c r="H18" s="193" t="s">
        <v>25</v>
      </c>
    </row>
    <row r="19" spans="3:11" ht="13.9" customHeight="1" thickBot="1">
      <c r="C19" s="190"/>
      <c r="D19" s="192"/>
      <c r="E19" s="192"/>
      <c r="F19" s="192"/>
      <c r="G19" s="192"/>
      <c r="H19" s="194"/>
    </row>
    <row r="20" spans="3:11" ht="14.5">
      <c r="C20" s="21">
        <v>1</v>
      </c>
      <c r="D20" s="22" t="s">
        <v>115</v>
      </c>
      <c r="E20" s="23"/>
      <c r="F20" s="23"/>
      <c r="G20" s="24"/>
      <c r="H20" s="25">
        <f>G20*E20</f>
        <v>0</v>
      </c>
      <c r="J20" s="26"/>
    </row>
    <row r="21" spans="3:11" ht="14.5">
      <c r="C21" s="21">
        <f>1+C20</f>
        <v>2</v>
      </c>
      <c r="D21" s="27" t="s">
        <v>116</v>
      </c>
      <c r="E21" s="23"/>
      <c r="F21" s="23"/>
      <c r="G21" s="28"/>
      <c r="H21" s="25">
        <f>G21*E21</f>
        <v>0</v>
      </c>
      <c r="J21" s="26"/>
    </row>
    <row r="22" spans="3:11" ht="14.5">
      <c r="C22" s="21">
        <f t="shared" ref="C22:C24" si="2">1+C21</f>
        <v>3</v>
      </c>
      <c r="D22" s="27" t="s">
        <v>117</v>
      </c>
      <c r="E22" s="23"/>
      <c r="F22" s="23"/>
      <c r="G22" s="28"/>
      <c r="H22" s="25">
        <f>G22*E22</f>
        <v>0</v>
      </c>
      <c r="J22" s="26"/>
    </row>
    <row r="23" spans="3:11" ht="14.5">
      <c r="C23" s="21">
        <f t="shared" si="2"/>
        <v>4</v>
      </c>
      <c r="D23" s="27" t="s">
        <v>118</v>
      </c>
      <c r="E23" s="23"/>
      <c r="F23" s="23"/>
      <c r="G23" s="28"/>
      <c r="H23" s="25">
        <f>G23*E23</f>
        <v>0</v>
      </c>
      <c r="J23" s="26"/>
    </row>
    <row r="24" spans="3:11" ht="15" thickBot="1">
      <c r="C24" s="21">
        <f t="shared" si="2"/>
        <v>5</v>
      </c>
      <c r="D24" s="27" t="s">
        <v>119</v>
      </c>
      <c r="E24" s="23"/>
      <c r="F24" s="23"/>
      <c r="G24" s="24"/>
      <c r="H24" s="25">
        <f t="shared" ref="H24" si="3">G24*E24</f>
        <v>0</v>
      </c>
      <c r="J24" s="26"/>
    </row>
    <row r="25" spans="3:11" ht="16.5" thickBot="1">
      <c r="C25" s="184" t="s">
        <v>13</v>
      </c>
      <c r="D25" s="185"/>
      <c r="E25" s="185"/>
      <c r="F25" s="185"/>
      <c r="G25" s="185"/>
      <c r="H25" s="40">
        <f>SUM(H20:H24)</f>
        <v>0</v>
      </c>
      <c r="I25" s="26">
        <f>H25</f>
        <v>0</v>
      </c>
      <c r="J25" s="26"/>
      <c r="K25" s="41"/>
    </row>
    <row r="26" spans="3:11" ht="13.5" thickBot="1">
      <c r="H26" s="42"/>
    </row>
    <row r="27" spans="3:11" ht="18" customHeight="1" thickBot="1">
      <c r="C27" s="210" t="s">
        <v>122</v>
      </c>
      <c r="D27" s="187"/>
      <c r="E27" s="187"/>
      <c r="F27" s="187"/>
      <c r="G27" s="187"/>
      <c r="H27" s="188"/>
    </row>
    <row r="28" spans="3:11" ht="15" customHeight="1">
      <c r="C28" s="189" t="s">
        <v>20</v>
      </c>
      <c r="D28" s="191" t="s">
        <v>21</v>
      </c>
      <c r="E28" s="191" t="s">
        <v>22</v>
      </c>
      <c r="F28" s="191" t="s">
        <v>23</v>
      </c>
      <c r="G28" s="191" t="s">
        <v>24</v>
      </c>
      <c r="H28" s="193" t="s">
        <v>25</v>
      </c>
    </row>
    <row r="29" spans="3:11" ht="13.9" customHeight="1" thickBot="1">
      <c r="C29" s="190"/>
      <c r="D29" s="192"/>
      <c r="E29" s="192"/>
      <c r="F29" s="192"/>
      <c r="G29" s="192"/>
      <c r="H29" s="194"/>
    </row>
    <row r="30" spans="3:11" ht="14.5">
      <c r="C30" s="21">
        <v>1</v>
      </c>
      <c r="D30" s="22" t="s">
        <v>115</v>
      </c>
      <c r="E30" s="23"/>
      <c r="F30" s="23"/>
      <c r="G30" s="24"/>
      <c r="H30" s="25">
        <f>G30*E30</f>
        <v>0</v>
      </c>
      <c r="J30" s="26"/>
    </row>
    <row r="31" spans="3:11" ht="14.5">
      <c r="C31" s="21">
        <f>1+C30</f>
        <v>2</v>
      </c>
      <c r="D31" s="27" t="s">
        <v>116</v>
      </c>
      <c r="E31" s="23"/>
      <c r="F31" s="23"/>
      <c r="G31" s="24"/>
      <c r="H31" s="25">
        <f>G31*E31</f>
        <v>0</v>
      </c>
      <c r="J31" s="26"/>
    </row>
    <row r="32" spans="3:11" ht="14.5">
      <c r="C32" s="21">
        <f t="shared" ref="C32:C34" si="4">1+C31</f>
        <v>3</v>
      </c>
      <c r="D32" s="27" t="s">
        <v>117</v>
      </c>
      <c r="E32" s="23"/>
      <c r="F32" s="23"/>
      <c r="G32" s="28"/>
      <c r="H32" s="25">
        <f>G32*E32</f>
        <v>0</v>
      </c>
      <c r="J32" s="26"/>
    </row>
    <row r="33" spans="3:11" ht="14.5">
      <c r="C33" s="21">
        <f t="shared" si="4"/>
        <v>4</v>
      </c>
      <c r="D33" s="27" t="s">
        <v>118</v>
      </c>
      <c r="E33" s="23"/>
      <c r="F33" s="23"/>
      <c r="G33" s="28"/>
      <c r="H33" s="25">
        <f>G33*E33</f>
        <v>0</v>
      </c>
      <c r="J33" s="26"/>
    </row>
    <row r="34" spans="3:11" ht="15" thickBot="1">
      <c r="C34" s="21">
        <f t="shared" si="4"/>
        <v>5</v>
      </c>
      <c r="D34" s="27" t="s">
        <v>119</v>
      </c>
      <c r="E34" s="23"/>
      <c r="F34" s="23"/>
      <c r="G34" s="24"/>
      <c r="H34" s="25">
        <f t="shared" ref="H34" si="5">G34*E34</f>
        <v>0</v>
      </c>
      <c r="J34" s="26"/>
    </row>
    <row r="35" spans="3:11" ht="16.5" thickBot="1">
      <c r="C35" s="184" t="s">
        <v>13</v>
      </c>
      <c r="D35" s="185"/>
      <c r="E35" s="185"/>
      <c r="F35" s="185"/>
      <c r="G35" s="185"/>
      <c r="H35" s="40">
        <f>SUM(H30:H34)</f>
        <v>0</v>
      </c>
      <c r="I35" s="26">
        <f>H35</f>
        <v>0</v>
      </c>
      <c r="J35" s="26"/>
      <c r="K35" s="41"/>
    </row>
    <row r="36" spans="3:11" ht="13.5" thickBot="1">
      <c r="H36" s="43"/>
    </row>
    <row r="37" spans="3:11" ht="18" customHeight="1" thickBot="1">
      <c r="C37" s="210" t="s">
        <v>123</v>
      </c>
      <c r="D37" s="187"/>
      <c r="E37" s="187"/>
      <c r="F37" s="187"/>
      <c r="G37" s="187"/>
      <c r="H37" s="188"/>
    </row>
    <row r="38" spans="3:11" ht="15" customHeight="1">
      <c r="C38" s="189" t="s">
        <v>20</v>
      </c>
      <c r="D38" s="191" t="s">
        <v>21</v>
      </c>
      <c r="E38" s="191" t="s">
        <v>22</v>
      </c>
      <c r="F38" s="191" t="s">
        <v>23</v>
      </c>
      <c r="G38" s="191" t="s">
        <v>24</v>
      </c>
      <c r="H38" s="193" t="s">
        <v>25</v>
      </c>
    </row>
    <row r="39" spans="3:11" ht="13.9" customHeight="1" thickBot="1">
      <c r="C39" s="190"/>
      <c r="D39" s="192"/>
      <c r="E39" s="192"/>
      <c r="F39" s="192"/>
      <c r="G39" s="192"/>
      <c r="H39" s="194"/>
    </row>
    <row r="40" spans="3:11" ht="14.5">
      <c r="C40" s="21">
        <v>1</v>
      </c>
      <c r="D40" s="22" t="s">
        <v>115</v>
      </c>
      <c r="E40" s="23"/>
      <c r="F40" s="23"/>
      <c r="G40" s="24"/>
      <c r="H40" s="25">
        <f>G40*E40</f>
        <v>0</v>
      </c>
      <c r="J40" s="26"/>
    </row>
    <row r="41" spans="3:11" ht="14.5">
      <c r="C41" s="21">
        <f>1+C40</f>
        <v>2</v>
      </c>
      <c r="D41" s="27" t="s">
        <v>116</v>
      </c>
      <c r="E41" s="23"/>
      <c r="F41" s="23"/>
      <c r="G41" s="28"/>
      <c r="H41" s="25">
        <f>G41*E41</f>
        <v>0</v>
      </c>
      <c r="J41" s="26"/>
    </row>
    <row r="42" spans="3:11" ht="14.5">
      <c r="C42" s="21">
        <f t="shared" ref="C42:C44" si="6">1+C41</f>
        <v>3</v>
      </c>
      <c r="D42" s="27" t="s">
        <v>117</v>
      </c>
      <c r="E42" s="23"/>
      <c r="F42" s="23"/>
      <c r="G42" s="28"/>
      <c r="H42" s="25">
        <f>G42*E42</f>
        <v>0</v>
      </c>
      <c r="J42" s="26"/>
    </row>
    <row r="43" spans="3:11" ht="14.5">
      <c r="C43" s="21">
        <f t="shared" si="6"/>
        <v>4</v>
      </c>
      <c r="D43" s="27" t="s">
        <v>118</v>
      </c>
      <c r="E43" s="23"/>
      <c r="F43" s="23"/>
      <c r="G43" s="28"/>
      <c r="H43" s="25">
        <f>G43*E43</f>
        <v>0</v>
      </c>
      <c r="J43" s="26"/>
    </row>
    <row r="44" spans="3:11" ht="15" thickBot="1">
      <c r="C44" s="21">
        <f t="shared" si="6"/>
        <v>5</v>
      </c>
      <c r="D44" s="27" t="s">
        <v>119</v>
      </c>
      <c r="E44" s="23"/>
      <c r="F44" s="23"/>
      <c r="G44" s="24"/>
      <c r="H44" s="25">
        <f t="shared" ref="H44" si="7">G44*E44</f>
        <v>0</v>
      </c>
      <c r="J44" s="26"/>
    </row>
    <row r="45" spans="3:11" ht="16.5" thickBot="1">
      <c r="C45" s="184" t="s">
        <v>13</v>
      </c>
      <c r="D45" s="185"/>
      <c r="E45" s="185"/>
      <c r="F45" s="185"/>
      <c r="G45" s="185"/>
      <c r="H45" s="40">
        <f>SUM(H40:H44)</f>
        <v>0</v>
      </c>
      <c r="I45" s="26">
        <f>H45</f>
        <v>0</v>
      </c>
      <c r="J45" s="26"/>
      <c r="K45" s="41"/>
    </row>
    <row r="46" spans="3:11" ht="15" customHeight="1">
      <c r="C46" s="178"/>
      <c r="D46" s="178"/>
      <c r="E46" s="44"/>
      <c r="F46" s="178"/>
      <c r="G46" s="178"/>
      <c r="H46" s="178"/>
    </row>
    <row r="47" spans="3:11" ht="14.5">
      <c r="C47" s="178"/>
      <c r="D47" s="178"/>
      <c r="E47" s="44"/>
      <c r="F47" s="178"/>
      <c r="G47" s="178"/>
      <c r="H47" s="178"/>
    </row>
    <row r="48" spans="3:11" ht="15" thickBot="1">
      <c r="C48" s="45"/>
      <c r="E48" s="46"/>
      <c r="F48" s="47"/>
      <c r="G48" s="48"/>
      <c r="H48" s="49"/>
    </row>
    <row r="49" spans="3:8" ht="21.4" customHeight="1" thickBot="1">
      <c r="C49" s="180" t="s">
        <v>27</v>
      </c>
      <c r="D49" s="181"/>
      <c r="E49" s="181"/>
      <c r="F49" s="181"/>
      <c r="G49" s="182"/>
      <c r="H49" s="50">
        <f>SUM(I:I)</f>
        <v>0</v>
      </c>
    </row>
    <row r="50" spans="3:8" ht="14.5">
      <c r="C50" s="45"/>
      <c r="E50" s="46"/>
      <c r="F50" s="47"/>
      <c r="G50" s="48"/>
      <c r="H50" s="49"/>
    </row>
    <row r="51" spans="3:8" ht="15" customHeight="1">
      <c r="C51" s="45"/>
      <c r="E51" s="46"/>
      <c r="F51" s="47"/>
      <c r="G51" s="48"/>
      <c r="H51" s="49"/>
    </row>
    <row r="52" spans="3:8" ht="14.5">
      <c r="C52" s="45"/>
      <c r="E52" s="46"/>
      <c r="F52" s="47"/>
      <c r="G52" s="48"/>
      <c r="H52" s="49"/>
    </row>
    <row r="53" spans="3:8" ht="14.5">
      <c r="C53" s="45"/>
      <c r="E53" s="46"/>
      <c r="F53" s="47"/>
      <c r="G53" s="48"/>
      <c r="H53" s="49"/>
    </row>
    <row r="54" spans="3:8" ht="14.5">
      <c r="C54" s="45"/>
      <c r="E54" s="46"/>
      <c r="F54" s="47"/>
      <c r="G54" s="48"/>
      <c r="H54" s="49"/>
    </row>
    <row r="55" spans="3:8" ht="14.5">
      <c r="C55" s="45"/>
      <c r="E55" s="46"/>
      <c r="F55" s="47"/>
      <c r="G55" s="48"/>
      <c r="H55" s="49"/>
    </row>
    <row r="56" spans="3:8" ht="14.5">
      <c r="C56" s="45"/>
      <c r="D56" s="51"/>
      <c r="E56" s="46"/>
      <c r="F56" s="47"/>
      <c r="G56" s="52"/>
      <c r="H56" s="49"/>
    </row>
    <row r="57" spans="3:8" ht="14.5">
      <c r="C57" s="45"/>
      <c r="D57" s="51"/>
      <c r="E57" s="46"/>
      <c r="F57" s="47"/>
      <c r="G57" s="53"/>
      <c r="H57" s="49"/>
    </row>
    <row r="58" spans="3:8" ht="14.25" customHeight="1">
      <c r="C58" s="45"/>
      <c r="D58" s="51"/>
      <c r="E58" s="46"/>
      <c r="F58" s="47"/>
      <c r="G58" s="53"/>
      <c r="H58" s="49"/>
    </row>
    <row r="59" spans="3:8" ht="14.5">
      <c r="C59" s="45"/>
      <c r="D59" s="51"/>
      <c r="E59" s="46"/>
      <c r="F59" s="47"/>
      <c r="G59" s="53"/>
      <c r="H59" s="49"/>
    </row>
    <row r="60" spans="3:8" ht="14.5">
      <c r="C60" s="45"/>
      <c r="D60" s="51"/>
      <c r="E60" s="46"/>
      <c r="F60" s="47"/>
      <c r="G60" s="53"/>
      <c r="H60" s="49"/>
    </row>
    <row r="61" spans="3:8" ht="14.5">
      <c r="C61" s="45"/>
      <c r="D61" s="51"/>
      <c r="E61" s="46"/>
      <c r="F61" s="47"/>
      <c r="G61" s="53"/>
      <c r="H61" s="49"/>
    </row>
    <row r="62" spans="3:8" ht="14.5">
      <c r="C62" s="45"/>
      <c r="D62" s="51"/>
      <c r="E62" s="46"/>
      <c r="F62" s="51"/>
      <c r="G62" s="53"/>
      <c r="H62" s="49"/>
    </row>
    <row r="63" spans="3:8" ht="14.5">
      <c r="C63" s="179"/>
      <c r="D63" s="179"/>
      <c r="E63" s="179"/>
      <c r="F63" s="179"/>
      <c r="G63" s="179"/>
      <c r="H63" s="49"/>
    </row>
    <row r="64" spans="3:8" ht="6" customHeight="1"/>
    <row r="67" spans="3:8" ht="18" customHeight="1">
      <c r="C67" s="183"/>
      <c r="D67" s="183"/>
      <c r="E67" s="183"/>
      <c r="F67" s="183"/>
      <c r="G67" s="183"/>
      <c r="H67" s="183"/>
    </row>
    <row r="68" spans="3:8" ht="15" customHeight="1">
      <c r="C68" s="178"/>
      <c r="D68" s="178"/>
      <c r="E68" s="44"/>
      <c r="F68" s="178"/>
      <c r="G68" s="178"/>
      <c r="H68" s="178"/>
    </row>
    <row r="69" spans="3:8" ht="14.5">
      <c r="C69" s="178"/>
      <c r="D69" s="178"/>
      <c r="E69" s="44"/>
      <c r="F69" s="178"/>
      <c r="G69" s="178"/>
      <c r="H69" s="178"/>
    </row>
    <row r="70" spans="3:8" ht="14.5">
      <c r="C70" s="45"/>
      <c r="E70" s="46"/>
      <c r="F70" s="47"/>
      <c r="G70" s="48"/>
      <c r="H70" s="49"/>
    </row>
    <row r="71" spans="3:8" ht="14.5">
      <c r="C71" s="45"/>
      <c r="D71" s="51"/>
      <c r="E71" s="46"/>
      <c r="F71" s="47"/>
      <c r="G71" s="52"/>
      <c r="H71" s="49"/>
    </row>
    <row r="72" spans="3:8" ht="15" customHeight="1">
      <c r="C72" s="45"/>
      <c r="D72" s="51"/>
      <c r="E72" s="46"/>
      <c r="F72" s="47"/>
      <c r="G72" s="53"/>
      <c r="H72" s="49"/>
    </row>
    <row r="73" spans="3:8" ht="14.5">
      <c r="C73" s="45"/>
      <c r="D73" s="51"/>
      <c r="E73" s="46"/>
      <c r="F73" s="47"/>
      <c r="G73" s="53"/>
      <c r="H73" s="49"/>
    </row>
    <row r="74" spans="3:8" ht="14.5">
      <c r="C74" s="45"/>
      <c r="D74" s="51"/>
      <c r="E74" s="46"/>
      <c r="F74" s="47"/>
      <c r="G74" s="53"/>
      <c r="H74" s="49"/>
    </row>
    <row r="75" spans="3:8" ht="14.5">
      <c r="C75" s="45"/>
      <c r="E75" s="46"/>
      <c r="F75" s="47"/>
      <c r="G75" s="48"/>
      <c r="H75" s="49"/>
    </row>
    <row r="76" spans="3:8" ht="14.5">
      <c r="C76" s="45"/>
      <c r="D76" s="51"/>
      <c r="E76" s="46"/>
      <c r="F76" s="47"/>
      <c r="G76" s="53"/>
      <c r="H76" s="49"/>
    </row>
    <row r="77" spans="3:8" ht="14.5">
      <c r="C77" s="45"/>
      <c r="E77" s="46"/>
      <c r="F77" s="47"/>
      <c r="G77" s="48"/>
      <c r="H77" s="49"/>
    </row>
    <row r="78" spans="3:8" ht="14.5">
      <c r="C78" s="45"/>
      <c r="D78" s="51"/>
      <c r="E78" s="46"/>
      <c r="F78" s="47"/>
      <c r="G78" s="53"/>
      <c r="H78" s="49"/>
    </row>
    <row r="79" spans="3:8" ht="14.5">
      <c r="C79" s="45"/>
      <c r="D79" s="51"/>
      <c r="E79" s="46"/>
      <c r="F79" s="47"/>
      <c r="G79" s="53"/>
      <c r="H79" s="49"/>
    </row>
    <row r="80" spans="3:8" ht="14.25" customHeight="1">
      <c r="C80" s="45"/>
      <c r="D80" s="51"/>
      <c r="E80" s="46"/>
      <c r="F80" s="51"/>
      <c r="G80" s="53"/>
      <c r="H80" s="49"/>
    </row>
    <row r="81" spans="3:8" ht="14.5">
      <c r="C81" s="45"/>
      <c r="D81" s="51"/>
      <c r="E81" s="46"/>
      <c r="F81" s="54"/>
      <c r="G81" s="53"/>
      <c r="H81" s="49"/>
    </row>
    <row r="82" spans="3:8" ht="14.5">
      <c r="C82" s="45"/>
      <c r="D82" s="51"/>
      <c r="E82" s="46"/>
      <c r="F82" s="54"/>
      <c r="G82" s="53"/>
      <c r="H82" s="49"/>
    </row>
    <row r="83" spans="3:8" ht="14.5">
      <c r="C83" s="45"/>
      <c r="D83" s="51"/>
      <c r="E83" s="46"/>
      <c r="F83" s="54"/>
      <c r="G83" s="53"/>
      <c r="H83" s="49"/>
    </row>
    <row r="84" spans="3:8" ht="14.5">
      <c r="C84" s="179"/>
      <c r="D84" s="179"/>
      <c r="E84" s="179"/>
      <c r="F84" s="179"/>
      <c r="G84" s="179"/>
      <c r="H84" s="49"/>
    </row>
    <row r="85" spans="3:8" ht="6" customHeight="1"/>
    <row r="87" spans="3:8">
      <c r="G87" s="55"/>
      <c r="H87" s="56"/>
    </row>
  </sheetData>
  <mergeCells count="47">
    <mergeCell ref="C84:G84"/>
    <mergeCell ref="C49:G49"/>
    <mergeCell ref="C63:G63"/>
    <mergeCell ref="C67:H67"/>
    <mergeCell ref="C68:C69"/>
    <mergeCell ref="D68:D69"/>
    <mergeCell ref="F68:F69"/>
    <mergeCell ref="G68:G69"/>
    <mergeCell ref="H68:H69"/>
    <mergeCell ref="H46:H47"/>
    <mergeCell ref="C35:G35"/>
    <mergeCell ref="C37:H37"/>
    <mergeCell ref="C38:C39"/>
    <mergeCell ref="D38:D39"/>
    <mergeCell ref="E38:E39"/>
    <mergeCell ref="F38:F39"/>
    <mergeCell ref="G38:G39"/>
    <mergeCell ref="H38:H39"/>
    <mergeCell ref="C45:G45"/>
    <mergeCell ref="C46:C47"/>
    <mergeCell ref="D46:D47"/>
    <mergeCell ref="F46:F47"/>
    <mergeCell ref="G46:G47"/>
    <mergeCell ref="C25:G25"/>
    <mergeCell ref="C27:H27"/>
    <mergeCell ref="C28:C29"/>
    <mergeCell ref="D28:D29"/>
    <mergeCell ref="E28:E29"/>
    <mergeCell ref="F28:F29"/>
    <mergeCell ref="G28:G29"/>
    <mergeCell ref="H28:H29"/>
    <mergeCell ref="C15:G15"/>
    <mergeCell ref="C17:H17"/>
    <mergeCell ref="C18:C19"/>
    <mergeCell ref="D18:D19"/>
    <mergeCell ref="E18:E19"/>
    <mergeCell ref="F18:F19"/>
    <mergeCell ref="G18:G19"/>
    <mergeCell ref="H18:H19"/>
    <mergeCell ref="C2:H5"/>
    <mergeCell ref="C7:H7"/>
    <mergeCell ref="C8:C9"/>
    <mergeCell ref="D8:D9"/>
    <mergeCell ref="E8:E9"/>
    <mergeCell ref="F8:F9"/>
    <mergeCell ref="G8:G9"/>
    <mergeCell ref="H8:H9"/>
  </mergeCells>
  <pageMargins left="0.70866141732283472" right="0.70866141732283472" top="0.35433070866141736" bottom="0.35433070866141736" header="0.31496062992125984" footer="0.31496062992125984"/>
  <pageSetup scale="80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329F-BB61-4822-A5E2-4344A322C2E2}">
  <dimension ref="C2:K87"/>
  <sheetViews>
    <sheetView showGridLines="0" zoomScale="85" zoomScaleNormal="85" workbookViewId="0">
      <selection activeCell="J17" sqref="J17:K17"/>
    </sheetView>
  </sheetViews>
  <sheetFormatPr defaultColWidth="9.26953125" defaultRowHeight="13"/>
  <cols>
    <col min="1" max="2" width="7.7265625" style="20" customWidth="1"/>
    <col min="3" max="3" width="5.26953125" style="20" customWidth="1"/>
    <col min="4" max="4" width="41.7265625" style="20" customWidth="1"/>
    <col min="5" max="5" width="11.453125" style="20" bestFit="1" customWidth="1"/>
    <col min="6" max="6" width="8.54296875" style="20" customWidth="1"/>
    <col min="7" max="7" width="20.26953125" style="20" customWidth="1"/>
    <col min="8" max="8" width="16.7265625" style="20" bestFit="1" customWidth="1"/>
    <col min="9" max="9" width="1.453125" style="20" customWidth="1"/>
    <col min="10" max="10" width="9.26953125" style="20"/>
    <col min="11" max="11" width="11.7265625" style="20" bestFit="1" customWidth="1"/>
    <col min="12" max="16384" width="9.26953125" style="20"/>
  </cols>
  <sheetData>
    <row r="2" spans="3:11">
      <c r="C2" s="195" t="s">
        <v>74</v>
      </c>
      <c r="D2" s="196"/>
      <c r="E2" s="196"/>
      <c r="F2" s="196"/>
      <c r="G2" s="196"/>
      <c r="H2" s="196"/>
    </row>
    <row r="3" spans="3:11">
      <c r="C3" s="196"/>
      <c r="D3" s="196"/>
      <c r="E3" s="196"/>
      <c r="F3" s="196"/>
      <c r="G3" s="196"/>
      <c r="H3" s="196"/>
    </row>
    <row r="4" spans="3:11">
      <c r="C4" s="196"/>
      <c r="D4" s="196"/>
      <c r="E4" s="196"/>
      <c r="F4" s="196"/>
      <c r="G4" s="196"/>
      <c r="H4" s="196"/>
    </row>
    <row r="5" spans="3:11">
      <c r="C5" s="196"/>
      <c r="D5" s="196"/>
      <c r="E5" s="196"/>
      <c r="F5" s="196"/>
      <c r="G5" s="196"/>
      <c r="H5" s="196"/>
    </row>
    <row r="6" spans="3:11" ht="10" customHeight="1" thickBot="1"/>
    <row r="7" spans="3:11" ht="30.5" customHeight="1" thickBot="1">
      <c r="C7" s="210" t="s">
        <v>134</v>
      </c>
      <c r="D7" s="187"/>
      <c r="E7" s="187"/>
      <c r="F7" s="187"/>
      <c r="G7" s="187"/>
      <c r="H7" s="188"/>
    </row>
    <row r="8" spans="3:11" ht="15" customHeight="1">
      <c r="C8" s="189" t="s">
        <v>20</v>
      </c>
      <c r="D8" s="191" t="s">
        <v>21</v>
      </c>
      <c r="E8" s="191" t="s">
        <v>22</v>
      </c>
      <c r="F8" s="191" t="s">
        <v>23</v>
      </c>
      <c r="G8" s="191" t="s">
        <v>24</v>
      </c>
      <c r="H8" s="193" t="s">
        <v>25</v>
      </c>
    </row>
    <row r="9" spans="3:11" ht="13.9" customHeight="1" thickBot="1">
      <c r="C9" s="190"/>
      <c r="D9" s="192"/>
      <c r="E9" s="192"/>
      <c r="F9" s="192"/>
      <c r="G9" s="192"/>
      <c r="H9" s="194"/>
    </row>
    <row r="10" spans="3:11" ht="14.5">
      <c r="C10" s="21">
        <v>1</v>
      </c>
      <c r="D10" s="22" t="s">
        <v>194</v>
      </c>
      <c r="E10" s="23"/>
      <c r="F10" s="23"/>
      <c r="G10" s="24"/>
      <c r="H10" s="25">
        <f t="shared" ref="H10:H14" si="0">G10*E10</f>
        <v>0</v>
      </c>
      <c r="J10" s="26"/>
    </row>
    <row r="11" spans="3:11" ht="14.5">
      <c r="C11" s="21">
        <f>1+C10</f>
        <v>2</v>
      </c>
      <c r="D11" s="27" t="s">
        <v>195</v>
      </c>
      <c r="E11" s="23"/>
      <c r="F11" s="23"/>
      <c r="G11" s="24"/>
      <c r="H11" s="25">
        <f t="shared" si="0"/>
        <v>0</v>
      </c>
      <c r="J11" s="26"/>
    </row>
    <row r="12" spans="3:11" ht="14.5">
      <c r="C12" s="21">
        <f t="shared" ref="C12:C14" si="1">1+C11</f>
        <v>3</v>
      </c>
      <c r="D12" s="27" t="s">
        <v>196</v>
      </c>
      <c r="E12" s="23"/>
      <c r="F12" s="23"/>
      <c r="G12" s="28"/>
      <c r="H12" s="25">
        <f t="shared" si="0"/>
        <v>0</v>
      </c>
      <c r="J12" s="26"/>
    </row>
    <row r="13" spans="3:11" ht="14.5">
      <c r="C13" s="21">
        <f t="shared" si="1"/>
        <v>4</v>
      </c>
      <c r="D13" s="27"/>
      <c r="E13" s="23"/>
      <c r="F13" s="23"/>
      <c r="G13" s="28"/>
      <c r="H13" s="25">
        <f>G13*E13</f>
        <v>0</v>
      </c>
      <c r="J13" s="26"/>
    </row>
    <row r="14" spans="3:11" ht="15" thickBot="1">
      <c r="C14" s="21">
        <f t="shared" si="1"/>
        <v>5</v>
      </c>
      <c r="D14" s="27"/>
      <c r="E14" s="23"/>
      <c r="F14" s="23"/>
      <c r="G14" s="24"/>
      <c r="H14" s="25">
        <f t="shared" si="0"/>
        <v>0</v>
      </c>
      <c r="J14" s="26"/>
    </row>
    <row r="15" spans="3:11" ht="16.5" thickBot="1">
      <c r="C15" s="184" t="s">
        <v>13</v>
      </c>
      <c r="D15" s="185"/>
      <c r="E15" s="185"/>
      <c r="F15" s="185"/>
      <c r="G15" s="185"/>
      <c r="H15" s="40">
        <f>SUM(H10:H14)</f>
        <v>0</v>
      </c>
      <c r="I15" s="26">
        <f>H15</f>
        <v>0</v>
      </c>
      <c r="J15" s="26"/>
      <c r="K15" s="41"/>
    </row>
    <row r="16" spans="3:11" ht="13.5" thickBot="1"/>
    <row r="17" spans="3:11" ht="18" customHeight="1" thickBot="1">
      <c r="C17" s="210" t="s">
        <v>135</v>
      </c>
      <c r="D17" s="187"/>
      <c r="E17" s="187"/>
      <c r="F17" s="187"/>
      <c r="G17" s="187"/>
      <c r="H17" s="188"/>
    </row>
    <row r="18" spans="3:11" ht="15" customHeight="1">
      <c r="C18" s="189" t="s">
        <v>20</v>
      </c>
      <c r="D18" s="191" t="s">
        <v>21</v>
      </c>
      <c r="E18" s="191" t="s">
        <v>22</v>
      </c>
      <c r="F18" s="191" t="s">
        <v>23</v>
      </c>
      <c r="G18" s="191" t="s">
        <v>24</v>
      </c>
      <c r="H18" s="193" t="s">
        <v>25</v>
      </c>
    </row>
    <row r="19" spans="3:11" ht="13.9" customHeight="1" thickBot="1">
      <c r="C19" s="190"/>
      <c r="D19" s="192"/>
      <c r="E19" s="192"/>
      <c r="F19" s="192"/>
      <c r="G19" s="192"/>
      <c r="H19" s="194"/>
    </row>
    <row r="20" spans="3:11" ht="14.5">
      <c r="C20" s="21">
        <v>1</v>
      </c>
      <c r="D20" s="22"/>
      <c r="E20" s="23"/>
      <c r="F20" s="23"/>
      <c r="G20" s="24"/>
      <c r="H20" s="25">
        <f>G20*E20</f>
        <v>0</v>
      </c>
      <c r="J20" s="26"/>
    </row>
    <row r="21" spans="3:11" ht="14.5">
      <c r="C21" s="21">
        <f>1+C20</f>
        <v>2</v>
      </c>
      <c r="D21" s="27"/>
      <c r="E21" s="23"/>
      <c r="F21" s="23"/>
      <c r="G21" s="28"/>
      <c r="H21" s="25">
        <f>G21*E21</f>
        <v>0</v>
      </c>
      <c r="J21" s="26"/>
    </row>
    <row r="22" spans="3:11" ht="14.5">
      <c r="C22" s="21">
        <f t="shared" ref="C22:C24" si="2">1+C21</f>
        <v>3</v>
      </c>
      <c r="D22" s="27"/>
      <c r="E22" s="23"/>
      <c r="F22" s="23"/>
      <c r="G22" s="28"/>
      <c r="H22" s="25">
        <f>G22*E22</f>
        <v>0</v>
      </c>
      <c r="J22" s="26"/>
    </row>
    <row r="23" spans="3:11" ht="14.5">
      <c r="C23" s="21">
        <f t="shared" si="2"/>
        <v>4</v>
      </c>
      <c r="D23" s="27"/>
      <c r="E23" s="23"/>
      <c r="F23" s="23"/>
      <c r="G23" s="28"/>
      <c r="H23" s="25">
        <f>G23*E23</f>
        <v>0</v>
      </c>
      <c r="J23" s="26"/>
    </row>
    <row r="24" spans="3:11" ht="15" thickBot="1">
      <c r="C24" s="21">
        <f t="shared" si="2"/>
        <v>5</v>
      </c>
      <c r="D24" s="27"/>
      <c r="E24" s="23"/>
      <c r="F24" s="23"/>
      <c r="G24" s="24"/>
      <c r="H24" s="25">
        <f t="shared" ref="H24" si="3">G24*E24</f>
        <v>0</v>
      </c>
      <c r="J24" s="26"/>
    </row>
    <row r="25" spans="3:11" ht="16.5" thickBot="1">
      <c r="C25" s="184" t="s">
        <v>13</v>
      </c>
      <c r="D25" s="185"/>
      <c r="E25" s="185"/>
      <c r="F25" s="185"/>
      <c r="G25" s="185"/>
      <c r="H25" s="40">
        <f>SUM(H20:H24)</f>
        <v>0</v>
      </c>
      <c r="I25" s="26">
        <f>H25</f>
        <v>0</v>
      </c>
      <c r="J25" s="26"/>
      <c r="K25" s="41"/>
    </row>
    <row r="26" spans="3:11" ht="13.5" thickBot="1">
      <c r="H26" s="42"/>
    </row>
    <row r="27" spans="3:11" ht="18" customHeight="1" thickBot="1">
      <c r="C27" s="210" t="s">
        <v>136</v>
      </c>
      <c r="D27" s="187"/>
      <c r="E27" s="187"/>
      <c r="F27" s="187"/>
      <c r="G27" s="187"/>
      <c r="H27" s="188"/>
    </row>
    <row r="28" spans="3:11" ht="15" customHeight="1">
      <c r="C28" s="189" t="s">
        <v>20</v>
      </c>
      <c r="D28" s="191" t="s">
        <v>21</v>
      </c>
      <c r="E28" s="191" t="s">
        <v>22</v>
      </c>
      <c r="F28" s="191" t="s">
        <v>23</v>
      </c>
      <c r="G28" s="191" t="s">
        <v>24</v>
      </c>
      <c r="H28" s="193" t="s">
        <v>25</v>
      </c>
    </row>
    <row r="29" spans="3:11" ht="13.9" customHeight="1" thickBot="1">
      <c r="C29" s="190"/>
      <c r="D29" s="192"/>
      <c r="E29" s="192"/>
      <c r="F29" s="192"/>
      <c r="G29" s="192"/>
      <c r="H29" s="194"/>
    </row>
    <row r="30" spans="3:11" ht="14.5">
      <c r="C30" s="21">
        <v>1</v>
      </c>
      <c r="D30" s="22"/>
      <c r="E30" s="23"/>
      <c r="F30" s="23"/>
      <c r="G30" s="24"/>
      <c r="H30" s="25">
        <f>G30*E30</f>
        <v>0</v>
      </c>
      <c r="J30" s="26"/>
    </row>
    <row r="31" spans="3:11" ht="14.5">
      <c r="C31" s="21">
        <f>1+C30</f>
        <v>2</v>
      </c>
      <c r="D31" s="27"/>
      <c r="E31" s="23"/>
      <c r="F31" s="23"/>
      <c r="G31" s="24"/>
      <c r="H31" s="25">
        <f>G31*E31</f>
        <v>0</v>
      </c>
      <c r="J31" s="26"/>
    </row>
    <row r="32" spans="3:11" ht="14.5">
      <c r="C32" s="21">
        <f t="shared" ref="C32:C34" si="4">1+C31</f>
        <v>3</v>
      </c>
      <c r="D32" s="27"/>
      <c r="E32" s="23"/>
      <c r="F32" s="23"/>
      <c r="G32" s="28"/>
      <c r="H32" s="25">
        <f>G32*E32</f>
        <v>0</v>
      </c>
      <c r="J32" s="26"/>
    </row>
    <row r="33" spans="3:11" ht="14.5">
      <c r="C33" s="21">
        <f t="shared" si="4"/>
        <v>4</v>
      </c>
      <c r="D33" s="27"/>
      <c r="E33" s="23"/>
      <c r="F33" s="23"/>
      <c r="G33" s="28"/>
      <c r="H33" s="25">
        <f>G33*E33</f>
        <v>0</v>
      </c>
      <c r="J33" s="26"/>
    </row>
    <row r="34" spans="3:11" ht="15" thickBot="1">
      <c r="C34" s="21">
        <f t="shared" si="4"/>
        <v>5</v>
      </c>
      <c r="D34" s="27"/>
      <c r="E34" s="23"/>
      <c r="F34" s="23"/>
      <c r="G34" s="24"/>
      <c r="H34" s="25">
        <f t="shared" ref="H34" si="5">G34*E34</f>
        <v>0</v>
      </c>
      <c r="J34" s="26"/>
    </row>
    <row r="35" spans="3:11" ht="16.5" thickBot="1">
      <c r="C35" s="184" t="s">
        <v>13</v>
      </c>
      <c r="D35" s="185"/>
      <c r="E35" s="185"/>
      <c r="F35" s="185"/>
      <c r="G35" s="185"/>
      <c r="H35" s="40">
        <f>SUM(H30:H34)</f>
        <v>0</v>
      </c>
      <c r="I35" s="26">
        <f>H35</f>
        <v>0</v>
      </c>
      <c r="J35" s="26"/>
      <c r="K35" s="41"/>
    </row>
    <row r="36" spans="3:11" ht="13.5" thickBot="1">
      <c r="H36" s="43"/>
    </row>
    <row r="37" spans="3:11" ht="18" customHeight="1" thickBot="1">
      <c r="C37" s="210" t="s">
        <v>137</v>
      </c>
      <c r="D37" s="187"/>
      <c r="E37" s="187"/>
      <c r="F37" s="187"/>
      <c r="G37" s="187"/>
      <c r="H37" s="188"/>
    </row>
    <row r="38" spans="3:11" ht="15" customHeight="1">
      <c r="C38" s="189" t="s">
        <v>20</v>
      </c>
      <c r="D38" s="191" t="s">
        <v>21</v>
      </c>
      <c r="E38" s="191" t="s">
        <v>22</v>
      </c>
      <c r="F38" s="191" t="s">
        <v>23</v>
      </c>
      <c r="G38" s="191" t="s">
        <v>24</v>
      </c>
      <c r="H38" s="193" t="s">
        <v>25</v>
      </c>
    </row>
    <row r="39" spans="3:11" ht="13.9" customHeight="1" thickBot="1">
      <c r="C39" s="190"/>
      <c r="D39" s="192"/>
      <c r="E39" s="192"/>
      <c r="F39" s="192"/>
      <c r="G39" s="192"/>
      <c r="H39" s="194"/>
    </row>
    <row r="40" spans="3:11" ht="14.5">
      <c r="C40" s="21">
        <v>1</v>
      </c>
      <c r="D40" s="22"/>
      <c r="E40" s="23"/>
      <c r="F40" s="23"/>
      <c r="G40" s="24"/>
      <c r="H40" s="25">
        <f>G40*E40</f>
        <v>0</v>
      </c>
      <c r="J40" s="26"/>
    </row>
    <row r="41" spans="3:11" ht="14.5">
      <c r="C41" s="21">
        <f>1+C40</f>
        <v>2</v>
      </c>
      <c r="D41" s="27"/>
      <c r="E41" s="23"/>
      <c r="F41" s="23"/>
      <c r="G41" s="28"/>
      <c r="H41" s="25">
        <f>G41*E41</f>
        <v>0</v>
      </c>
      <c r="J41" s="26"/>
    </row>
    <row r="42" spans="3:11" ht="14.5">
      <c r="C42" s="21">
        <f t="shared" ref="C42:C44" si="6">1+C41</f>
        <v>3</v>
      </c>
      <c r="D42" s="27"/>
      <c r="E42" s="23"/>
      <c r="F42" s="23"/>
      <c r="G42" s="28"/>
      <c r="H42" s="25">
        <f>G42*E42</f>
        <v>0</v>
      </c>
      <c r="J42" s="26"/>
    </row>
    <row r="43" spans="3:11" ht="14.5">
      <c r="C43" s="21">
        <f t="shared" si="6"/>
        <v>4</v>
      </c>
      <c r="D43" s="27"/>
      <c r="E43" s="23"/>
      <c r="F43" s="23"/>
      <c r="G43" s="28"/>
      <c r="H43" s="25">
        <f>G43*E43</f>
        <v>0</v>
      </c>
      <c r="J43" s="26"/>
    </row>
    <row r="44" spans="3:11" ht="15" thickBot="1">
      <c r="C44" s="21">
        <f t="shared" si="6"/>
        <v>5</v>
      </c>
      <c r="D44" s="27"/>
      <c r="E44" s="23"/>
      <c r="F44" s="23"/>
      <c r="G44" s="24"/>
      <c r="H44" s="25">
        <f t="shared" ref="H44" si="7">G44*E44</f>
        <v>0</v>
      </c>
      <c r="J44" s="26"/>
    </row>
    <row r="45" spans="3:11" ht="16.5" thickBot="1">
      <c r="C45" s="184" t="s">
        <v>13</v>
      </c>
      <c r="D45" s="185"/>
      <c r="E45" s="185"/>
      <c r="F45" s="185"/>
      <c r="G45" s="185"/>
      <c r="H45" s="40">
        <f>SUM(H40:H44)</f>
        <v>0</v>
      </c>
      <c r="I45" s="26">
        <f>H45</f>
        <v>0</v>
      </c>
      <c r="J45" s="26"/>
      <c r="K45" s="41"/>
    </row>
    <row r="46" spans="3:11" ht="15" customHeight="1">
      <c r="C46" s="178"/>
      <c r="D46" s="178"/>
      <c r="E46" s="44"/>
      <c r="F46" s="178"/>
      <c r="G46" s="178"/>
      <c r="H46" s="178"/>
    </row>
    <row r="47" spans="3:11" ht="14.5">
      <c r="C47" s="178"/>
      <c r="D47" s="178"/>
      <c r="E47" s="44"/>
      <c r="F47" s="178"/>
      <c r="G47" s="178"/>
      <c r="H47" s="178"/>
    </row>
    <row r="48" spans="3:11" ht="15" thickBot="1">
      <c r="C48" s="45"/>
      <c r="E48" s="46"/>
      <c r="F48" s="47"/>
      <c r="G48" s="48"/>
      <c r="H48" s="49"/>
    </row>
    <row r="49" spans="3:8" ht="21.4" customHeight="1" thickBot="1">
      <c r="C49" s="180" t="s">
        <v>27</v>
      </c>
      <c r="D49" s="181"/>
      <c r="E49" s="181"/>
      <c r="F49" s="181"/>
      <c r="G49" s="182"/>
      <c r="H49" s="50">
        <f>SUM(I:I)</f>
        <v>0</v>
      </c>
    </row>
    <row r="50" spans="3:8" ht="14.5">
      <c r="C50" s="45"/>
      <c r="E50" s="46"/>
      <c r="F50" s="47"/>
      <c r="G50" s="48"/>
      <c r="H50" s="49"/>
    </row>
    <row r="51" spans="3:8" ht="15" customHeight="1">
      <c r="C51" s="45"/>
      <c r="E51" s="46"/>
      <c r="F51" s="47"/>
      <c r="G51" s="48"/>
      <c r="H51" s="49"/>
    </row>
    <row r="52" spans="3:8" ht="14.5">
      <c r="C52" s="45"/>
      <c r="E52" s="46"/>
      <c r="F52" s="47"/>
      <c r="G52" s="48"/>
      <c r="H52" s="49"/>
    </row>
    <row r="53" spans="3:8" ht="14.5">
      <c r="C53" s="45"/>
      <c r="E53" s="46"/>
      <c r="F53" s="47"/>
      <c r="G53" s="48"/>
      <c r="H53" s="49"/>
    </row>
    <row r="54" spans="3:8" ht="14.5">
      <c r="C54" s="45"/>
      <c r="E54" s="46"/>
      <c r="F54" s="47"/>
      <c r="G54" s="48"/>
      <c r="H54" s="49"/>
    </row>
    <row r="55" spans="3:8" ht="14.5">
      <c r="C55" s="45"/>
      <c r="E55" s="46"/>
      <c r="F55" s="47"/>
      <c r="G55" s="48"/>
      <c r="H55" s="49"/>
    </row>
    <row r="56" spans="3:8" ht="14.5">
      <c r="C56" s="45"/>
      <c r="D56" s="51"/>
      <c r="E56" s="46"/>
      <c r="F56" s="47"/>
      <c r="G56" s="52"/>
      <c r="H56" s="49"/>
    </row>
    <row r="57" spans="3:8" ht="14.5">
      <c r="C57" s="45"/>
      <c r="D57" s="51"/>
      <c r="E57" s="46"/>
      <c r="F57" s="47"/>
      <c r="G57" s="53"/>
      <c r="H57" s="49"/>
    </row>
    <row r="58" spans="3:8" ht="14.25" customHeight="1">
      <c r="C58" s="45"/>
      <c r="D58" s="51"/>
      <c r="E58" s="46"/>
      <c r="F58" s="47"/>
      <c r="G58" s="53"/>
      <c r="H58" s="49"/>
    </row>
    <row r="59" spans="3:8" ht="14.5">
      <c r="C59" s="45"/>
      <c r="D59" s="51"/>
      <c r="E59" s="46"/>
      <c r="F59" s="47"/>
      <c r="G59" s="53"/>
      <c r="H59" s="49"/>
    </row>
    <row r="60" spans="3:8" ht="14.5">
      <c r="C60" s="45"/>
      <c r="D60" s="51"/>
      <c r="E60" s="46"/>
      <c r="F60" s="47"/>
      <c r="G60" s="53"/>
      <c r="H60" s="49"/>
    </row>
    <row r="61" spans="3:8" ht="14.5">
      <c r="C61" s="45"/>
      <c r="D61" s="51"/>
      <c r="E61" s="46"/>
      <c r="F61" s="47"/>
      <c r="G61" s="53"/>
      <c r="H61" s="49"/>
    </row>
    <row r="62" spans="3:8" ht="14.5">
      <c r="C62" s="45"/>
      <c r="D62" s="51"/>
      <c r="E62" s="46"/>
      <c r="F62" s="51"/>
      <c r="G62" s="53"/>
      <c r="H62" s="49"/>
    </row>
    <row r="63" spans="3:8" ht="14.5">
      <c r="C63" s="179"/>
      <c r="D63" s="179"/>
      <c r="E63" s="179"/>
      <c r="F63" s="179"/>
      <c r="G63" s="179"/>
      <c r="H63" s="49"/>
    </row>
    <row r="64" spans="3:8" ht="6" customHeight="1"/>
    <row r="67" spans="3:8" ht="18" customHeight="1">
      <c r="C67" s="183"/>
      <c r="D67" s="183"/>
      <c r="E67" s="183"/>
      <c r="F67" s="183"/>
      <c r="G67" s="183"/>
      <c r="H67" s="183"/>
    </row>
    <row r="68" spans="3:8" ht="15" customHeight="1">
      <c r="C68" s="178"/>
      <c r="D68" s="178"/>
      <c r="E68" s="44"/>
      <c r="F68" s="178"/>
      <c r="G68" s="178"/>
      <c r="H68" s="178"/>
    </row>
    <row r="69" spans="3:8" ht="14.5">
      <c r="C69" s="178"/>
      <c r="D69" s="178"/>
      <c r="E69" s="44"/>
      <c r="F69" s="178"/>
      <c r="G69" s="178"/>
      <c r="H69" s="178"/>
    </row>
    <row r="70" spans="3:8" ht="14.5">
      <c r="C70" s="45"/>
      <c r="E70" s="46"/>
      <c r="F70" s="47"/>
      <c r="G70" s="48"/>
      <c r="H70" s="49"/>
    </row>
    <row r="71" spans="3:8" ht="14.5">
      <c r="C71" s="45"/>
      <c r="D71" s="51"/>
      <c r="E71" s="46"/>
      <c r="F71" s="47"/>
      <c r="G71" s="52"/>
      <c r="H71" s="49"/>
    </row>
    <row r="72" spans="3:8" ht="15" customHeight="1">
      <c r="C72" s="45"/>
      <c r="D72" s="51"/>
      <c r="E72" s="46"/>
      <c r="F72" s="47"/>
      <c r="G72" s="53"/>
      <c r="H72" s="49"/>
    </row>
    <row r="73" spans="3:8" ht="14.5">
      <c r="C73" s="45"/>
      <c r="D73" s="51"/>
      <c r="E73" s="46"/>
      <c r="F73" s="47"/>
      <c r="G73" s="53"/>
      <c r="H73" s="49"/>
    </row>
    <row r="74" spans="3:8" ht="14.5">
      <c r="C74" s="45"/>
      <c r="D74" s="51"/>
      <c r="E74" s="46"/>
      <c r="F74" s="47"/>
      <c r="G74" s="53"/>
      <c r="H74" s="49"/>
    </row>
    <row r="75" spans="3:8" ht="14.5">
      <c r="C75" s="45"/>
      <c r="E75" s="46"/>
      <c r="F75" s="47"/>
      <c r="G75" s="48"/>
      <c r="H75" s="49"/>
    </row>
    <row r="76" spans="3:8" ht="14.5">
      <c r="C76" s="45"/>
      <c r="D76" s="51"/>
      <c r="E76" s="46"/>
      <c r="F76" s="47"/>
      <c r="G76" s="53"/>
      <c r="H76" s="49"/>
    </row>
    <row r="77" spans="3:8" ht="14.5">
      <c r="C77" s="45"/>
      <c r="E77" s="46"/>
      <c r="F77" s="47"/>
      <c r="G77" s="48"/>
      <c r="H77" s="49"/>
    </row>
    <row r="78" spans="3:8" ht="14.5">
      <c r="C78" s="45"/>
      <c r="D78" s="51"/>
      <c r="E78" s="46"/>
      <c r="F78" s="47"/>
      <c r="G78" s="53"/>
      <c r="H78" s="49"/>
    </row>
    <row r="79" spans="3:8" ht="14.5">
      <c r="C79" s="45"/>
      <c r="D79" s="51"/>
      <c r="E79" s="46"/>
      <c r="F79" s="47"/>
      <c r="G79" s="53"/>
      <c r="H79" s="49"/>
    </row>
    <row r="80" spans="3:8" ht="14.25" customHeight="1">
      <c r="C80" s="45"/>
      <c r="D80" s="51"/>
      <c r="E80" s="46"/>
      <c r="F80" s="51"/>
      <c r="G80" s="53"/>
      <c r="H80" s="49"/>
    </row>
    <row r="81" spans="3:8" ht="14.5">
      <c r="C81" s="45"/>
      <c r="D81" s="51"/>
      <c r="E81" s="46"/>
      <c r="F81" s="54"/>
      <c r="G81" s="53"/>
      <c r="H81" s="49"/>
    </row>
    <row r="82" spans="3:8" ht="14.5">
      <c r="C82" s="45"/>
      <c r="D82" s="51"/>
      <c r="E82" s="46"/>
      <c r="F82" s="54"/>
      <c r="G82" s="53"/>
      <c r="H82" s="49"/>
    </row>
    <row r="83" spans="3:8" ht="14.5">
      <c r="C83" s="45"/>
      <c r="D83" s="51"/>
      <c r="E83" s="46"/>
      <c r="F83" s="54"/>
      <c r="G83" s="53"/>
      <c r="H83" s="49"/>
    </row>
    <row r="84" spans="3:8" ht="14.5">
      <c r="C84" s="179"/>
      <c r="D84" s="179"/>
      <c r="E84" s="179"/>
      <c r="F84" s="179"/>
      <c r="G84" s="179"/>
      <c r="H84" s="49"/>
    </row>
    <row r="85" spans="3:8" ht="6" customHeight="1"/>
    <row r="87" spans="3:8">
      <c r="G87" s="55"/>
      <c r="H87" s="56"/>
    </row>
  </sheetData>
  <mergeCells count="47">
    <mergeCell ref="C2:H5"/>
    <mergeCell ref="C7:H7"/>
    <mergeCell ref="C8:C9"/>
    <mergeCell ref="D8:D9"/>
    <mergeCell ref="E8:E9"/>
    <mergeCell ref="F8:F9"/>
    <mergeCell ref="G8:G9"/>
    <mergeCell ref="H8:H9"/>
    <mergeCell ref="C15:G15"/>
    <mergeCell ref="C17:H17"/>
    <mergeCell ref="C18:C19"/>
    <mergeCell ref="D18:D19"/>
    <mergeCell ref="E18:E19"/>
    <mergeCell ref="F18:F19"/>
    <mergeCell ref="G18:G19"/>
    <mergeCell ref="H18:H19"/>
    <mergeCell ref="C25:G25"/>
    <mergeCell ref="C27:H27"/>
    <mergeCell ref="C28:C29"/>
    <mergeCell ref="D28:D29"/>
    <mergeCell ref="E28:E29"/>
    <mergeCell ref="F28:F29"/>
    <mergeCell ref="G28:G29"/>
    <mergeCell ref="H28:H29"/>
    <mergeCell ref="H46:H47"/>
    <mergeCell ref="C35:G35"/>
    <mergeCell ref="C37:H37"/>
    <mergeCell ref="C38:C39"/>
    <mergeCell ref="D38:D39"/>
    <mergeCell ref="E38:E39"/>
    <mergeCell ref="F38:F39"/>
    <mergeCell ref="G38:G39"/>
    <mergeCell ref="H38:H39"/>
    <mergeCell ref="C45:G45"/>
    <mergeCell ref="C46:C47"/>
    <mergeCell ref="D46:D47"/>
    <mergeCell ref="F46:F47"/>
    <mergeCell ref="G46:G47"/>
    <mergeCell ref="C84:G84"/>
    <mergeCell ref="C49:G49"/>
    <mergeCell ref="C63:G63"/>
    <mergeCell ref="C67:H67"/>
    <mergeCell ref="C68:C69"/>
    <mergeCell ref="D68:D69"/>
    <mergeCell ref="F68:F69"/>
    <mergeCell ref="G68:G69"/>
    <mergeCell ref="H68:H69"/>
  </mergeCells>
  <pageMargins left="0.70866141732283472" right="0.70866141732283472" top="0.35433070866141736" bottom="0.35433070866141736" header="0.31496062992125984" footer="0.31496062992125984"/>
  <pageSetup scale="80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87BB-D778-4282-9D39-7BF7F22C0F47}">
  <sheetPr codeName="Sheet12"/>
  <dimension ref="C2:K111"/>
  <sheetViews>
    <sheetView showGridLines="0" zoomScale="70" zoomScaleNormal="70" workbookViewId="0">
      <selection activeCell="E59" sqref="E59"/>
    </sheetView>
  </sheetViews>
  <sheetFormatPr defaultColWidth="9.26953125" defaultRowHeight="13"/>
  <cols>
    <col min="1" max="2" width="7.7265625" style="20" customWidth="1"/>
    <col min="3" max="3" width="5.26953125" style="20" customWidth="1"/>
    <col min="4" max="4" width="41.7265625" style="20" customWidth="1"/>
    <col min="5" max="5" width="11.453125" style="20" bestFit="1" customWidth="1"/>
    <col min="6" max="6" width="8.54296875" style="46" customWidth="1"/>
    <col min="7" max="7" width="20.26953125" style="20" customWidth="1"/>
    <col min="8" max="8" width="16.7265625" style="20" bestFit="1" customWidth="1"/>
    <col min="9" max="9" width="1.453125" style="20" customWidth="1"/>
    <col min="10" max="10" width="9.26953125" style="20"/>
    <col min="11" max="11" width="11.7265625" style="20" bestFit="1" customWidth="1"/>
    <col min="12" max="16384" width="9.26953125" style="20"/>
  </cols>
  <sheetData>
    <row r="2" spans="3:10">
      <c r="C2" s="195" t="s">
        <v>74</v>
      </c>
      <c r="D2" s="196"/>
      <c r="E2" s="196"/>
      <c r="F2" s="196"/>
      <c r="G2" s="196"/>
      <c r="H2" s="196"/>
    </row>
    <row r="3" spans="3:10">
      <c r="C3" s="196"/>
      <c r="D3" s="196"/>
      <c r="E3" s="196"/>
      <c r="F3" s="196"/>
      <c r="G3" s="196"/>
      <c r="H3" s="196"/>
    </row>
    <row r="4" spans="3:10">
      <c r="C4" s="196"/>
      <c r="D4" s="196"/>
      <c r="E4" s="196"/>
      <c r="F4" s="196"/>
      <c r="G4" s="196"/>
      <c r="H4" s="196"/>
    </row>
    <row r="5" spans="3:10">
      <c r="C5" s="196"/>
      <c r="D5" s="196"/>
      <c r="E5" s="196"/>
      <c r="F5" s="196"/>
      <c r="G5" s="196"/>
      <c r="H5" s="196"/>
    </row>
    <row r="6" spans="3:10" ht="13.5" thickBot="1"/>
    <row r="7" spans="3:10" ht="18" customHeight="1" thickBot="1">
      <c r="C7" s="210" t="s">
        <v>107</v>
      </c>
      <c r="D7" s="187"/>
      <c r="E7" s="187"/>
      <c r="F7" s="187"/>
      <c r="G7" s="187"/>
      <c r="H7" s="188"/>
    </row>
    <row r="8" spans="3:10" ht="15" customHeight="1">
      <c r="C8" s="189" t="s">
        <v>20</v>
      </c>
      <c r="D8" s="191" t="s">
        <v>21</v>
      </c>
      <c r="E8" s="191" t="s">
        <v>22</v>
      </c>
      <c r="F8" s="191" t="s">
        <v>23</v>
      </c>
      <c r="G8" s="191" t="s">
        <v>24</v>
      </c>
      <c r="H8" s="193" t="s">
        <v>25</v>
      </c>
    </row>
    <row r="9" spans="3:10" ht="13.9" customHeight="1" thickBot="1">
      <c r="C9" s="190"/>
      <c r="D9" s="192"/>
      <c r="E9" s="192"/>
      <c r="F9" s="192"/>
      <c r="G9" s="192"/>
      <c r="H9" s="194"/>
    </row>
    <row r="10" spans="3:10" ht="13.9" customHeight="1">
      <c r="C10" s="21">
        <v>1</v>
      </c>
      <c r="D10" s="22" t="s">
        <v>111</v>
      </c>
      <c r="E10" s="23"/>
      <c r="F10" s="23" t="s">
        <v>113</v>
      </c>
      <c r="G10" s="24"/>
      <c r="H10" s="25">
        <f t="shared" ref="H10" si="0">G10*E10</f>
        <v>0</v>
      </c>
    </row>
    <row r="11" spans="3:10" ht="14.5">
      <c r="C11" s="21">
        <v>2</v>
      </c>
      <c r="D11" s="22" t="s">
        <v>124</v>
      </c>
      <c r="E11" s="23"/>
      <c r="F11" s="23" t="s">
        <v>125</v>
      </c>
      <c r="G11" s="24"/>
      <c r="H11" s="25">
        <f t="shared" ref="H11:H20" si="1">G11*E11</f>
        <v>0</v>
      </c>
      <c r="J11" s="26"/>
    </row>
    <row r="12" spans="3:10" ht="14.5">
      <c r="C12" s="21">
        <f>1+C11</f>
        <v>3</v>
      </c>
      <c r="D12" s="27" t="s">
        <v>54</v>
      </c>
      <c r="E12" s="23">
        <v>1</v>
      </c>
      <c r="F12" s="23" t="s">
        <v>55</v>
      </c>
      <c r="G12" s="24"/>
      <c r="H12" s="25">
        <f t="shared" si="1"/>
        <v>0</v>
      </c>
      <c r="J12" s="26"/>
    </row>
    <row r="13" spans="3:10" ht="14.5">
      <c r="C13" s="21">
        <f t="shared" ref="C13:C19" si="2">1+C12</f>
        <v>4</v>
      </c>
      <c r="D13" s="27" t="s">
        <v>56</v>
      </c>
      <c r="E13" s="23">
        <v>1</v>
      </c>
      <c r="F13" s="23" t="s">
        <v>57</v>
      </c>
      <c r="G13" s="28"/>
      <c r="H13" s="25">
        <f t="shared" si="1"/>
        <v>0</v>
      </c>
      <c r="J13" s="26"/>
    </row>
    <row r="14" spans="3:10" ht="14.5">
      <c r="C14" s="21">
        <f t="shared" si="2"/>
        <v>5</v>
      </c>
      <c r="D14" s="27" t="s">
        <v>58</v>
      </c>
      <c r="E14" s="23">
        <v>1</v>
      </c>
      <c r="F14" s="23" t="s">
        <v>59</v>
      </c>
      <c r="G14" s="28"/>
      <c r="H14" s="25">
        <f>G14*E14</f>
        <v>0</v>
      </c>
      <c r="J14" s="26"/>
    </row>
    <row r="15" spans="3:10" ht="14.5">
      <c r="C15" s="21">
        <f t="shared" si="2"/>
        <v>6</v>
      </c>
      <c r="D15" s="27" t="s">
        <v>60</v>
      </c>
      <c r="E15" s="23">
        <v>2</v>
      </c>
      <c r="F15" s="23" t="s">
        <v>57</v>
      </c>
      <c r="G15" s="24"/>
      <c r="H15" s="25">
        <f t="shared" si="1"/>
        <v>0</v>
      </c>
      <c r="J15" s="26"/>
    </row>
    <row r="16" spans="3:10" ht="14.5">
      <c r="C16" s="21">
        <f t="shared" si="2"/>
        <v>7</v>
      </c>
      <c r="D16" s="27" t="s">
        <v>61</v>
      </c>
      <c r="E16" s="23">
        <v>2</v>
      </c>
      <c r="F16" s="68" t="s">
        <v>57</v>
      </c>
      <c r="G16" s="28"/>
      <c r="H16" s="25">
        <f t="shared" si="1"/>
        <v>0</v>
      </c>
      <c r="J16" s="26"/>
    </row>
    <row r="17" spans="3:11" ht="14.5">
      <c r="C17" s="21">
        <f t="shared" si="2"/>
        <v>8</v>
      </c>
      <c r="D17" s="27" t="s">
        <v>62</v>
      </c>
      <c r="E17" s="23">
        <v>2</v>
      </c>
      <c r="F17" s="68" t="s">
        <v>63</v>
      </c>
      <c r="G17" s="28"/>
      <c r="H17" s="25">
        <f t="shared" si="1"/>
        <v>0</v>
      </c>
      <c r="J17" s="26"/>
    </row>
    <row r="18" spans="3:11" ht="14.5">
      <c r="C18" s="21">
        <f t="shared" si="2"/>
        <v>9</v>
      </c>
      <c r="D18" s="27" t="s">
        <v>64</v>
      </c>
      <c r="E18" s="23">
        <v>2</v>
      </c>
      <c r="F18" s="68" t="s">
        <v>55</v>
      </c>
      <c r="G18" s="28"/>
      <c r="H18" s="25">
        <f t="shared" si="1"/>
        <v>0</v>
      </c>
      <c r="J18" s="26"/>
    </row>
    <row r="19" spans="3:11" ht="14.5">
      <c r="C19" s="21">
        <f t="shared" si="2"/>
        <v>10</v>
      </c>
      <c r="D19" s="30" t="s">
        <v>65</v>
      </c>
      <c r="E19" s="31">
        <v>1</v>
      </c>
      <c r="F19" s="69" t="s">
        <v>53</v>
      </c>
      <c r="G19" s="32"/>
      <c r="H19" s="33">
        <f t="shared" si="1"/>
        <v>0</v>
      </c>
      <c r="J19" s="26"/>
    </row>
    <row r="20" spans="3:11" ht="15" thickBot="1">
      <c r="C20" s="34">
        <f>1+C19</f>
        <v>11</v>
      </c>
      <c r="D20" s="35" t="s">
        <v>66</v>
      </c>
      <c r="E20" s="36">
        <v>2</v>
      </c>
      <c r="F20" s="36" t="s">
        <v>57</v>
      </c>
      <c r="G20" s="38"/>
      <c r="H20" s="39">
        <f t="shared" si="1"/>
        <v>0</v>
      </c>
      <c r="J20" s="26"/>
    </row>
    <row r="21" spans="3:11" ht="16.5" thickBot="1">
      <c r="C21" s="184" t="s">
        <v>13</v>
      </c>
      <c r="D21" s="185"/>
      <c r="E21" s="185"/>
      <c r="F21" s="185"/>
      <c r="G21" s="185"/>
      <c r="H21" s="40">
        <f>SUM(H11:H20)</f>
        <v>0</v>
      </c>
      <c r="I21" s="26">
        <f>H21</f>
        <v>0</v>
      </c>
      <c r="J21" s="26"/>
      <c r="K21" s="41"/>
    </row>
    <row r="22" spans="3:11" ht="13.5" thickBot="1"/>
    <row r="23" spans="3:11" ht="18" customHeight="1" thickBot="1">
      <c r="C23" s="210" t="s">
        <v>108</v>
      </c>
      <c r="D23" s="187"/>
      <c r="E23" s="187"/>
      <c r="F23" s="187"/>
      <c r="G23" s="187"/>
      <c r="H23" s="188"/>
    </row>
    <row r="24" spans="3:11" ht="15" customHeight="1">
      <c r="C24" s="189" t="s">
        <v>20</v>
      </c>
      <c r="D24" s="191" t="s">
        <v>21</v>
      </c>
      <c r="E24" s="191" t="s">
        <v>22</v>
      </c>
      <c r="F24" s="191" t="s">
        <v>23</v>
      </c>
      <c r="G24" s="191" t="s">
        <v>24</v>
      </c>
      <c r="H24" s="193" t="s">
        <v>25</v>
      </c>
    </row>
    <row r="25" spans="3:11" ht="13.9" customHeight="1" thickBot="1">
      <c r="C25" s="190"/>
      <c r="D25" s="192"/>
      <c r="E25" s="192"/>
      <c r="F25" s="192"/>
      <c r="G25" s="192"/>
      <c r="H25" s="194"/>
    </row>
    <row r="26" spans="3:11" ht="13.9" customHeight="1">
      <c r="C26" s="21">
        <v>1</v>
      </c>
      <c r="D26" s="22" t="s">
        <v>111</v>
      </c>
      <c r="E26" s="23"/>
      <c r="F26" s="23" t="s">
        <v>113</v>
      </c>
      <c r="G26" s="24"/>
      <c r="H26" s="25">
        <f t="shared" ref="H26" si="3">G26*E26</f>
        <v>0</v>
      </c>
    </row>
    <row r="27" spans="3:11" ht="14.5">
      <c r="C27" s="21">
        <v>2</v>
      </c>
      <c r="D27" s="22" t="s">
        <v>124</v>
      </c>
      <c r="E27" s="23"/>
      <c r="F27" s="23" t="s">
        <v>125</v>
      </c>
      <c r="G27" s="24"/>
      <c r="H27" s="25">
        <f>G27*E27</f>
        <v>0</v>
      </c>
      <c r="J27" s="26"/>
    </row>
    <row r="28" spans="3:11" ht="14.5">
      <c r="C28" s="21">
        <f>1+C27</f>
        <v>3</v>
      </c>
      <c r="D28" s="27" t="s">
        <v>54</v>
      </c>
      <c r="E28" s="23">
        <v>1</v>
      </c>
      <c r="F28" s="23" t="s">
        <v>55</v>
      </c>
      <c r="G28" s="28"/>
      <c r="H28" s="25">
        <f>G28*E28</f>
        <v>0</v>
      </c>
      <c r="J28" s="26"/>
    </row>
    <row r="29" spans="3:11" ht="14.5">
      <c r="C29" s="21">
        <f t="shared" ref="C29:C35" si="4">1+C28</f>
        <v>4</v>
      </c>
      <c r="D29" s="27" t="s">
        <v>56</v>
      </c>
      <c r="E29" s="23">
        <v>1</v>
      </c>
      <c r="F29" s="23" t="s">
        <v>57</v>
      </c>
      <c r="G29" s="28"/>
      <c r="H29" s="25">
        <f>G29*E29</f>
        <v>0</v>
      </c>
      <c r="J29" s="26"/>
    </row>
    <row r="30" spans="3:11" ht="14.5">
      <c r="C30" s="21">
        <f t="shared" si="4"/>
        <v>5</v>
      </c>
      <c r="D30" s="27" t="s">
        <v>58</v>
      </c>
      <c r="E30" s="23">
        <v>1</v>
      </c>
      <c r="F30" s="23" t="s">
        <v>59</v>
      </c>
      <c r="G30" s="28"/>
      <c r="H30" s="25">
        <f>G30*E30</f>
        <v>0</v>
      </c>
      <c r="J30" s="26"/>
    </row>
    <row r="31" spans="3:11" ht="14.5">
      <c r="C31" s="21">
        <f t="shared" si="4"/>
        <v>6</v>
      </c>
      <c r="D31" s="27" t="s">
        <v>60</v>
      </c>
      <c r="E31" s="23">
        <v>2</v>
      </c>
      <c r="F31" s="23" t="s">
        <v>57</v>
      </c>
      <c r="G31" s="24"/>
      <c r="H31" s="25">
        <f t="shared" ref="H31:H36" si="5">G31*E31</f>
        <v>0</v>
      </c>
      <c r="J31" s="26"/>
    </row>
    <row r="32" spans="3:11" ht="14.5">
      <c r="C32" s="21">
        <f t="shared" si="4"/>
        <v>7</v>
      </c>
      <c r="D32" s="27" t="s">
        <v>61</v>
      </c>
      <c r="E32" s="23">
        <v>2</v>
      </c>
      <c r="F32" s="68" t="s">
        <v>57</v>
      </c>
      <c r="G32" s="28"/>
      <c r="H32" s="25">
        <f t="shared" si="5"/>
        <v>0</v>
      </c>
      <c r="J32" s="26"/>
    </row>
    <row r="33" spans="3:11" ht="14.5">
      <c r="C33" s="21">
        <f t="shared" si="4"/>
        <v>8</v>
      </c>
      <c r="D33" s="27" t="s">
        <v>62</v>
      </c>
      <c r="E33" s="23">
        <v>2</v>
      </c>
      <c r="F33" s="68" t="s">
        <v>63</v>
      </c>
      <c r="G33" s="28"/>
      <c r="H33" s="25">
        <f t="shared" si="5"/>
        <v>0</v>
      </c>
      <c r="J33" s="26"/>
    </row>
    <row r="34" spans="3:11" ht="14.5">
      <c r="C34" s="21">
        <f t="shared" si="4"/>
        <v>9</v>
      </c>
      <c r="D34" s="27" t="s">
        <v>64</v>
      </c>
      <c r="E34" s="23">
        <v>2</v>
      </c>
      <c r="F34" s="68" t="s">
        <v>55</v>
      </c>
      <c r="G34" s="28"/>
      <c r="H34" s="25">
        <f t="shared" si="5"/>
        <v>0</v>
      </c>
      <c r="J34" s="26"/>
    </row>
    <row r="35" spans="3:11" ht="14.5">
      <c r="C35" s="21">
        <f t="shared" si="4"/>
        <v>10</v>
      </c>
      <c r="D35" s="30" t="s">
        <v>65</v>
      </c>
      <c r="E35" s="31">
        <v>1</v>
      </c>
      <c r="F35" s="69" t="s">
        <v>53</v>
      </c>
      <c r="G35" s="32"/>
      <c r="H35" s="33">
        <f t="shared" si="5"/>
        <v>0</v>
      </c>
      <c r="J35" s="26"/>
    </row>
    <row r="36" spans="3:11" ht="15" thickBot="1">
      <c r="C36" s="34">
        <f>1+C35</f>
        <v>11</v>
      </c>
      <c r="D36" s="35" t="s">
        <v>66</v>
      </c>
      <c r="E36" s="36">
        <v>2</v>
      </c>
      <c r="F36" s="36" t="s">
        <v>57</v>
      </c>
      <c r="G36" s="38"/>
      <c r="H36" s="39">
        <f t="shared" si="5"/>
        <v>0</v>
      </c>
      <c r="J36" s="26"/>
    </row>
    <row r="37" spans="3:11" ht="16.5" thickBot="1">
      <c r="C37" s="184" t="s">
        <v>13</v>
      </c>
      <c r="D37" s="185"/>
      <c r="E37" s="185"/>
      <c r="F37" s="185"/>
      <c r="G37" s="185"/>
      <c r="H37" s="40">
        <f>SUM(H27:H36)</f>
        <v>0</v>
      </c>
      <c r="I37" s="26">
        <f>H37</f>
        <v>0</v>
      </c>
      <c r="J37" s="26"/>
      <c r="K37" s="41"/>
    </row>
    <row r="38" spans="3:11" ht="13.5" thickBot="1">
      <c r="H38" s="42"/>
    </row>
    <row r="39" spans="3:11" ht="18" customHeight="1" thickBot="1">
      <c r="C39" s="210" t="s">
        <v>109</v>
      </c>
      <c r="D39" s="187"/>
      <c r="E39" s="187"/>
      <c r="F39" s="187"/>
      <c r="G39" s="187"/>
      <c r="H39" s="188"/>
    </row>
    <row r="40" spans="3:11" ht="15" customHeight="1">
      <c r="C40" s="189" t="s">
        <v>20</v>
      </c>
      <c r="D40" s="191" t="s">
        <v>21</v>
      </c>
      <c r="E40" s="191" t="s">
        <v>22</v>
      </c>
      <c r="F40" s="191" t="s">
        <v>23</v>
      </c>
      <c r="G40" s="191" t="s">
        <v>24</v>
      </c>
      <c r="H40" s="193" t="s">
        <v>25</v>
      </c>
    </row>
    <row r="41" spans="3:11" ht="13.9" customHeight="1" thickBot="1">
      <c r="C41" s="190"/>
      <c r="D41" s="192"/>
      <c r="E41" s="192"/>
      <c r="F41" s="192"/>
      <c r="G41" s="192"/>
      <c r="H41" s="194"/>
    </row>
    <row r="42" spans="3:11" ht="13.9" customHeight="1">
      <c r="C42" s="21">
        <v>1</v>
      </c>
      <c r="D42" s="22" t="s">
        <v>111</v>
      </c>
      <c r="E42" s="23"/>
      <c r="F42" s="23" t="s">
        <v>112</v>
      </c>
      <c r="G42" s="24"/>
      <c r="H42" s="25">
        <f t="shared" ref="H42" si="6">G42*E42</f>
        <v>0</v>
      </c>
    </row>
    <row r="43" spans="3:11" ht="14.5">
      <c r="C43" s="21">
        <v>2</v>
      </c>
      <c r="D43" s="22" t="s">
        <v>124</v>
      </c>
      <c r="E43" s="23"/>
      <c r="F43" s="23" t="s">
        <v>125</v>
      </c>
      <c r="G43" s="24"/>
      <c r="H43" s="25">
        <f>G43*E43</f>
        <v>0</v>
      </c>
      <c r="J43" s="26"/>
    </row>
    <row r="44" spans="3:11" ht="14.5">
      <c r="C44" s="21">
        <f>1+C43</f>
        <v>3</v>
      </c>
      <c r="D44" s="27" t="s">
        <v>54</v>
      </c>
      <c r="E44" s="23">
        <v>1</v>
      </c>
      <c r="F44" s="23" t="s">
        <v>55</v>
      </c>
      <c r="G44" s="24"/>
      <c r="H44" s="25">
        <f>G44*E44</f>
        <v>0</v>
      </c>
      <c r="J44" s="26"/>
    </row>
    <row r="45" spans="3:11" ht="14.5">
      <c r="C45" s="21">
        <f t="shared" ref="C45:C51" si="7">1+C44</f>
        <v>4</v>
      </c>
      <c r="D45" s="27" t="s">
        <v>56</v>
      </c>
      <c r="E45" s="23">
        <v>1</v>
      </c>
      <c r="F45" s="23" t="s">
        <v>57</v>
      </c>
      <c r="G45" s="28"/>
      <c r="H45" s="25">
        <f>G45*E45</f>
        <v>0</v>
      </c>
      <c r="J45" s="26"/>
    </row>
    <row r="46" spans="3:11" ht="14.5">
      <c r="C46" s="21">
        <f t="shared" si="7"/>
        <v>5</v>
      </c>
      <c r="D46" s="27" t="s">
        <v>58</v>
      </c>
      <c r="E46" s="23">
        <v>1</v>
      </c>
      <c r="F46" s="23" t="s">
        <v>59</v>
      </c>
      <c r="G46" s="28"/>
      <c r="H46" s="25">
        <f>G46*E46</f>
        <v>0</v>
      </c>
      <c r="J46" s="26"/>
    </row>
    <row r="47" spans="3:11" ht="14.5">
      <c r="C47" s="21">
        <f t="shared" si="7"/>
        <v>6</v>
      </c>
      <c r="D47" s="27" t="s">
        <v>60</v>
      </c>
      <c r="E47" s="23">
        <v>2</v>
      </c>
      <c r="F47" s="23" t="s">
        <v>57</v>
      </c>
      <c r="G47" s="24"/>
      <c r="H47" s="25">
        <f t="shared" ref="H47:H52" si="8">G47*E47</f>
        <v>0</v>
      </c>
      <c r="J47" s="26"/>
    </row>
    <row r="48" spans="3:11" ht="14.5">
      <c r="C48" s="21">
        <f t="shared" si="7"/>
        <v>7</v>
      </c>
      <c r="D48" s="27" t="s">
        <v>61</v>
      </c>
      <c r="E48" s="23">
        <v>2</v>
      </c>
      <c r="F48" s="68" t="s">
        <v>57</v>
      </c>
      <c r="G48" s="28"/>
      <c r="H48" s="25">
        <f t="shared" si="8"/>
        <v>0</v>
      </c>
      <c r="J48" s="26"/>
    </row>
    <row r="49" spans="3:11" ht="14.5">
      <c r="C49" s="21">
        <f t="shared" si="7"/>
        <v>8</v>
      </c>
      <c r="D49" s="27" t="s">
        <v>62</v>
      </c>
      <c r="E49" s="23">
        <v>2</v>
      </c>
      <c r="F49" s="68" t="s">
        <v>63</v>
      </c>
      <c r="G49" s="28"/>
      <c r="H49" s="25">
        <f t="shared" si="8"/>
        <v>0</v>
      </c>
      <c r="J49" s="26"/>
    </row>
    <row r="50" spans="3:11" ht="14.5">
      <c r="C50" s="21">
        <f t="shared" si="7"/>
        <v>9</v>
      </c>
      <c r="D50" s="27" t="s">
        <v>64</v>
      </c>
      <c r="E50" s="23">
        <v>2</v>
      </c>
      <c r="F50" s="68" t="s">
        <v>55</v>
      </c>
      <c r="G50" s="28"/>
      <c r="H50" s="25">
        <f t="shared" si="8"/>
        <v>0</v>
      </c>
      <c r="J50" s="26"/>
    </row>
    <row r="51" spans="3:11" ht="14.5">
      <c r="C51" s="21">
        <f t="shared" si="7"/>
        <v>10</v>
      </c>
      <c r="D51" s="30" t="s">
        <v>65</v>
      </c>
      <c r="E51" s="31">
        <v>1</v>
      </c>
      <c r="F51" s="69" t="s">
        <v>53</v>
      </c>
      <c r="G51" s="32"/>
      <c r="H51" s="33">
        <f t="shared" si="8"/>
        <v>0</v>
      </c>
      <c r="J51" s="26"/>
    </row>
    <row r="52" spans="3:11" ht="15" thickBot="1">
      <c r="C52" s="34">
        <f>1+C51</f>
        <v>11</v>
      </c>
      <c r="D52" s="35" t="s">
        <v>66</v>
      </c>
      <c r="E52" s="36">
        <v>2</v>
      </c>
      <c r="F52" s="36" t="s">
        <v>57</v>
      </c>
      <c r="G52" s="38"/>
      <c r="H52" s="39">
        <f t="shared" si="8"/>
        <v>0</v>
      </c>
      <c r="J52" s="26"/>
    </row>
    <row r="53" spans="3:11" ht="16.5" thickBot="1">
      <c r="C53" s="184" t="s">
        <v>13</v>
      </c>
      <c r="D53" s="185"/>
      <c r="E53" s="185"/>
      <c r="F53" s="185"/>
      <c r="G53" s="185"/>
      <c r="H53" s="40">
        <f>SUM(H43:H52)</f>
        <v>0</v>
      </c>
      <c r="I53" s="26">
        <f>H53</f>
        <v>0</v>
      </c>
      <c r="J53" s="26"/>
      <c r="K53" s="41"/>
    </row>
    <row r="54" spans="3:11" ht="13.5" thickBot="1">
      <c r="H54" s="43"/>
    </row>
    <row r="55" spans="3:11" ht="18" customHeight="1" thickBot="1">
      <c r="C55" s="210" t="s">
        <v>110</v>
      </c>
      <c r="D55" s="187"/>
      <c r="E55" s="187"/>
      <c r="F55" s="187"/>
      <c r="G55" s="187"/>
      <c r="H55" s="188"/>
    </row>
    <row r="56" spans="3:11" ht="15" customHeight="1">
      <c r="C56" s="189" t="s">
        <v>20</v>
      </c>
      <c r="D56" s="191" t="s">
        <v>21</v>
      </c>
      <c r="E56" s="191" t="s">
        <v>22</v>
      </c>
      <c r="F56" s="191" t="s">
        <v>23</v>
      </c>
      <c r="G56" s="191" t="s">
        <v>24</v>
      </c>
      <c r="H56" s="193" t="s">
        <v>25</v>
      </c>
    </row>
    <row r="57" spans="3:11" ht="13.9" customHeight="1" thickBot="1">
      <c r="C57" s="190"/>
      <c r="D57" s="192"/>
      <c r="E57" s="192"/>
      <c r="F57" s="192"/>
      <c r="G57" s="192"/>
      <c r="H57" s="194"/>
    </row>
    <row r="58" spans="3:11" ht="13.9" customHeight="1">
      <c r="C58" s="21">
        <v>1</v>
      </c>
      <c r="D58" s="22" t="s">
        <v>111</v>
      </c>
      <c r="E58" s="23"/>
      <c r="F58" s="23" t="s">
        <v>112</v>
      </c>
      <c r="G58" s="24"/>
      <c r="H58" s="25">
        <f t="shared" ref="H58" si="9">G58*E58</f>
        <v>0</v>
      </c>
    </row>
    <row r="59" spans="3:11" ht="14.5">
      <c r="C59" s="21">
        <v>2</v>
      </c>
      <c r="D59" s="22" t="s">
        <v>124</v>
      </c>
      <c r="E59" s="23"/>
      <c r="F59" s="23" t="s">
        <v>125</v>
      </c>
      <c r="G59" s="24"/>
      <c r="H59" s="25">
        <f>G59*E59</f>
        <v>0</v>
      </c>
      <c r="J59" s="26"/>
    </row>
    <row r="60" spans="3:11" ht="14.5">
      <c r="C60" s="21">
        <f>1+C59</f>
        <v>3</v>
      </c>
      <c r="D60" s="27" t="s">
        <v>54</v>
      </c>
      <c r="E60" s="23">
        <v>1</v>
      </c>
      <c r="F60" s="23" t="s">
        <v>55</v>
      </c>
      <c r="G60" s="28"/>
      <c r="H60" s="25">
        <f>G60*E60</f>
        <v>0</v>
      </c>
      <c r="J60" s="26"/>
    </row>
    <row r="61" spans="3:11" ht="14.5">
      <c r="C61" s="21">
        <f t="shared" ref="C61:C67" si="10">1+C60</f>
        <v>4</v>
      </c>
      <c r="D61" s="27" t="s">
        <v>56</v>
      </c>
      <c r="E61" s="23">
        <v>1</v>
      </c>
      <c r="F61" s="23" t="s">
        <v>57</v>
      </c>
      <c r="G61" s="28"/>
      <c r="H61" s="25">
        <f>G61*E61</f>
        <v>0</v>
      </c>
      <c r="J61" s="26"/>
    </row>
    <row r="62" spans="3:11" ht="14.5">
      <c r="C62" s="21">
        <f t="shared" si="10"/>
        <v>5</v>
      </c>
      <c r="D62" s="27" t="s">
        <v>58</v>
      </c>
      <c r="E62" s="23">
        <v>1</v>
      </c>
      <c r="F62" s="23" t="s">
        <v>59</v>
      </c>
      <c r="G62" s="28"/>
      <c r="H62" s="25">
        <f>G62*E62</f>
        <v>0</v>
      </c>
      <c r="J62" s="26"/>
    </row>
    <row r="63" spans="3:11" ht="14.5">
      <c r="C63" s="21">
        <f t="shared" si="10"/>
        <v>6</v>
      </c>
      <c r="D63" s="27" t="s">
        <v>60</v>
      </c>
      <c r="E63" s="23">
        <v>2</v>
      </c>
      <c r="F63" s="23" t="s">
        <v>57</v>
      </c>
      <c r="G63" s="24"/>
      <c r="H63" s="25">
        <f t="shared" ref="H63:H68" si="11">G63*E63</f>
        <v>0</v>
      </c>
      <c r="J63" s="26"/>
    </row>
    <row r="64" spans="3:11" ht="14.5">
      <c r="C64" s="21">
        <f t="shared" si="10"/>
        <v>7</v>
      </c>
      <c r="D64" s="27" t="s">
        <v>61</v>
      </c>
      <c r="E64" s="23">
        <v>2</v>
      </c>
      <c r="F64" s="68" t="s">
        <v>57</v>
      </c>
      <c r="G64" s="28"/>
      <c r="H64" s="25">
        <f t="shared" si="11"/>
        <v>0</v>
      </c>
      <c r="J64" s="26"/>
    </row>
    <row r="65" spans="3:11" ht="14.5">
      <c r="C65" s="21">
        <f t="shared" si="10"/>
        <v>8</v>
      </c>
      <c r="D65" s="27" t="s">
        <v>62</v>
      </c>
      <c r="E65" s="23">
        <v>2</v>
      </c>
      <c r="F65" s="68" t="s">
        <v>63</v>
      </c>
      <c r="G65" s="28"/>
      <c r="H65" s="25">
        <f t="shared" si="11"/>
        <v>0</v>
      </c>
      <c r="J65" s="26"/>
    </row>
    <row r="66" spans="3:11" ht="14.5">
      <c r="C66" s="21">
        <f t="shared" si="10"/>
        <v>9</v>
      </c>
      <c r="D66" s="27" t="s">
        <v>64</v>
      </c>
      <c r="E66" s="23">
        <v>2</v>
      </c>
      <c r="F66" s="68" t="s">
        <v>55</v>
      </c>
      <c r="G66" s="28"/>
      <c r="H66" s="25">
        <f t="shared" si="11"/>
        <v>0</v>
      </c>
      <c r="J66" s="26"/>
    </row>
    <row r="67" spans="3:11" ht="14.5">
      <c r="C67" s="21">
        <f t="shared" si="10"/>
        <v>10</v>
      </c>
      <c r="D67" s="30" t="s">
        <v>65</v>
      </c>
      <c r="E67" s="31">
        <v>1</v>
      </c>
      <c r="F67" s="69" t="s">
        <v>53</v>
      </c>
      <c r="G67" s="32"/>
      <c r="H67" s="33">
        <f t="shared" si="11"/>
        <v>0</v>
      </c>
      <c r="J67" s="26"/>
    </row>
    <row r="68" spans="3:11" ht="15" thickBot="1">
      <c r="C68" s="34">
        <f>1+C67</f>
        <v>11</v>
      </c>
      <c r="D68" s="35" t="s">
        <v>66</v>
      </c>
      <c r="E68" s="36">
        <v>2</v>
      </c>
      <c r="F68" s="36" t="s">
        <v>57</v>
      </c>
      <c r="G68" s="38"/>
      <c r="H68" s="39">
        <f t="shared" si="11"/>
        <v>0</v>
      </c>
      <c r="J68" s="26"/>
    </row>
    <row r="69" spans="3:11" ht="16.5" thickBot="1">
      <c r="C69" s="184" t="s">
        <v>13</v>
      </c>
      <c r="D69" s="185"/>
      <c r="E69" s="185"/>
      <c r="F69" s="185"/>
      <c r="G69" s="185"/>
      <c r="H69" s="40">
        <f>SUM(H59:H68)</f>
        <v>0</v>
      </c>
      <c r="I69" s="26">
        <f>H69</f>
        <v>0</v>
      </c>
      <c r="J69" s="26"/>
      <c r="K69" s="41"/>
    </row>
    <row r="70" spans="3:11" ht="15" customHeight="1">
      <c r="C70" s="178"/>
      <c r="D70" s="178"/>
      <c r="E70" s="44"/>
      <c r="F70" s="178"/>
      <c r="G70" s="178"/>
      <c r="H70" s="178"/>
    </row>
    <row r="71" spans="3:11" ht="14.5">
      <c r="C71" s="178"/>
      <c r="D71" s="178"/>
      <c r="E71" s="44"/>
      <c r="F71" s="178"/>
      <c r="G71" s="178"/>
      <c r="H71" s="178"/>
    </row>
    <row r="72" spans="3:11" ht="15" thickBot="1">
      <c r="C72" s="45"/>
      <c r="E72" s="46"/>
      <c r="G72" s="48"/>
      <c r="H72" s="49"/>
    </row>
    <row r="73" spans="3:11" ht="21.4" customHeight="1" thickBot="1">
      <c r="C73" s="180" t="s">
        <v>27</v>
      </c>
      <c r="D73" s="181"/>
      <c r="E73" s="181"/>
      <c r="F73" s="181"/>
      <c r="G73" s="182"/>
      <c r="H73" s="50">
        <f>SUM(I:I)</f>
        <v>0</v>
      </c>
    </row>
    <row r="74" spans="3:11" ht="14.5">
      <c r="C74" s="45"/>
      <c r="E74" s="46"/>
      <c r="G74" s="48"/>
      <c r="H74" s="49"/>
    </row>
    <row r="75" spans="3:11" ht="15" customHeight="1">
      <c r="C75" s="45"/>
      <c r="E75" s="46"/>
      <c r="G75" s="48"/>
      <c r="H75" s="49"/>
    </row>
    <row r="76" spans="3:11" ht="14.5">
      <c r="C76" s="45"/>
      <c r="E76" s="46"/>
      <c r="G76" s="48"/>
      <c r="H76" s="49"/>
    </row>
    <row r="77" spans="3:11" ht="14.5">
      <c r="C77" s="45"/>
      <c r="E77" s="46"/>
      <c r="G77" s="48"/>
      <c r="H77" s="49"/>
    </row>
    <row r="78" spans="3:11" ht="14.5">
      <c r="C78" s="45"/>
      <c r="E78" s="46"/>
      <c r="G78" s="48"/>
      <c r="H78" s="49"/>
    </row>
    <row r="79" spans="3:11" ht="14.5">
      <c r="C79" s="45"/>
      <c r="E79" s="46"/>
      <c r="G79" s="48"/>
      <c r="H79" s="49"/>
    </row>
    <row r="80" spans="3:11" ht="14.5">
      <c r="C80" s="45"/>
      <c r="D80" s="51"/>
      <c r="E80" s="46"/>
      <c r="G80" s="52"/>
      <c r="H80" s="49"/>
    </row>
    <row r="81" spans="3:8" ht="14.5">
      <c r="C81" s="45"/>
      <c r="D81" s="51"/>
      <c r="E81" s="46"/>
      <c r="G81" s="53"/>
      <c r="H81" s="49"/>
    </row>
    <row r="82" spans="3:8" ht="14.25" customHeight="1">
      <c r="C82" s="45"/>
      <c r="D82" s="51"/>
      <c r="E82" s="46"/>
      <c r="G82" s="53"/>
      <c r="H82" s="49"/>
    </row>
    <row r="83" spans="3:8" ht="14.5">
      <c r="C83" s="45"/>
      <c r="D83" s="51"/>
      <c r="E83" s="46"/>
      <c r="G83" s="53"/>
      <c r="H83" s="49"/>
    </row>
    <row r="84" spans="3:8" ht="14.5">
      <c r="C84" s="45"/>
      <c r="D84" s="51"/>
      <c r="E84" s="46"/>
      <c r="G84" s="53"/>
      <c r="H84" s="49"/>
    </row>
    <row r="85" spans="3:8" ht="14.5">
      <c r="C85" s="45"/>
      <c r="D85" s="51"/>
      <c r="E85" s="46"/>
      <c r="G85" s="53"/>
      <c r="H85" s="49"/>
    </row>
    <row r="86" spans="3:8" ht="14.5">
      <c r="C86" s="45"/>
      <c r="D86" s="51"/>
      <c r="E86" s="46"/>
      <c r="F86" s="54"/>
      <c r="G86" s="53"/>
      <c r="H86" s="49"/>
    </row>
    <row r="87" spans="3:8" ht="14.5">
      <c r="C87" s="179"/>
      <c r="D87" s="179"/>
      <c r="E87" s="179"/>
      <c r="F87" s="179"/>
      <c r="G87" s="179"/>
      <c r="H87" s="49"/>
    </row>
    <row r="88" spans="3:8" ht="6" customHeight="1"/>
    <row r="91" spans="3:8" ht="18" customHeight="1">
      <c r="C91" s="183"/>
      <c r="D91" s="183"/>
      <c r="E91" s="183"/>
      <c r="F91" s="183"/>
      <c r="G91" s="183"/>
      <c r="H91" s="183"/>
    </row>
    <row r="92" spans="3:8" ht="15" customHeight="1">
      <c r="C92" s="178"/>
      <c r="D92" s="178"/>
      <c r="E92" s="44"/>
      <c r="F92" s="178"/>
      <c r="G92" s="178"/>
      <c r="H92" s="178"/>
    </row>
    <row r="93" spans="3:8" ht="14.5">
      <c r="C93" s="178"/>
      <c r="D93" s="178"/>
      <c r="E93" s="44"/>
      <c r="F93" s="178"/>
      <c r="G93" s="178"/>
      <c r="H93" s="178"/>
    </row>
    <row r="94" spans="3:8" ht="14.5">
      <c r="C94" s="45"/>
      <c r="E94" s="46"/>
      <c r="G94" s="48"/>
      <c r="H94" s="49"/>
    </row>
    <row r="95" spans="3:8" ht="14.5">
      <c r="C95" s="45"/>
      <c r="D95" s="51"/>
      <c r="E95" s="46"/>
      <c r="G95" s="52"/>
      <c r="H95" s="49"/>
    </row>
    <row r="96" spans="3:8" ht="15" customHeight="1">
      <c r="C96" s="45"/>
      <c r="D96" s="51"/>
      <c r="E96" s="46"/>
      <c r="G96" s="53"/>
      <c r="H96" s="49"/>
    </row>
    <row r="97" spans="3:8" ht="14.5">
      <c r="C97" s="45"/>
      <c r="D97" s="51"/>
      <c r="E97" s="46"/>
      <c r="G97" s="53"/>
      <c r="H97" s="49"/>
    </row>
    <row r="98" spans="3:8" ht="14.5">
      <c r="C98" s="45"/>
      <c r="D98" s="51"/>
      <c r="E98" s="46"/>
      <c r="G98" s="53"/>
      <c r="H98" s="49"/>
    </row>
    <row r="99" spans="3:8" ht="14.5">
      <c r="C99" s="45"/>
      <c r="E99" s="46"/>
      <c r="G99" s="48"/>
      <c r="H99" s="49"/>
    </row>
    <row r="100" spans="3:8" ht="14.5">
      <c r="C100" s="45"/>
      <c r="D100" s="51"/>
      <c r="E100" s="46"/>
      <c r="G100" s="53"/>
      <c r="H100" s="49"/>
    </row>
    <row r="101" spans="3:8" ht="14.5">
      <c r="C101" s="45"/>
      <c r="E101" s="46"/>
      <c r="G101" s="48"/>
      <c r="H101" s="49"/>
    </row>
    <row r="102" spans="3:8" ht="14.5">
      <c r="C102" s="45"/>
      <c r="D102" s="51"/>
      <c r="E102" s="46"/>
      <c r="G102" s="53"/>
      <c r="H102" s="49"/>
    </row>
    <row r="103" spans="3:8" ht="14.5">
      <c r="C103" s="45"/>
      <c r="D103" s="51"/>
      <c r="E103" s="46"/>
      <c r="G103" s="53"/>
      <c r="H103" s="49"/>
    </row>
    <row r="104" spans="3:8" ht="14.25" customHeight="1">
      <c r="C104" s="45"/>
      <c r="D104" s="51"/>
      <c r="E104" s="46"/>
      <c r="F104" s="54"/>
      <c r="G104" s="53"/>
      <c r="H104" s="49"/>
    </row>
    <row r="105" spans="3:8" ht="14.5">
      <c r="C105" s="45"/>
      <c r="D105" s="51"/>
      <c r="E105" s="46"/>
      <c r="F105" s="54"/>
      <c r="G105" s="53"/>
      <c r="H105" s="49"/>
    </row>
    <row r="106" spans="3:8" ht="14.5">
      <c r="C106" s="45"/>
      <c r="D106" s="51"/>
      <c r="E106" s="46"/>
      <c r="F106" s="54"/>
      <c r="G106" s="53"/>
      <c r="H106" s="49"/>
    </row>
    <row r="107" spans="3:8" ht="14.5">
      <c r="C107" s="45"/>
      <c r="D107" s="51"/>
      <c r="E107" s="46"/>
      <c r="F107" s="54"/>
      <c r="G107" s="53"/>
      <c r="H107" s="49"/>
    </row>
    <row r="108" spans="3:8" ht="14.5">
      <c r="C108" s="179"/>
      <c r="D108" s="179"/>
      <c r="E108" s="179"/>
      <c r="F108" s="179"/>
      <c r="G108" s="179"/>
      <c r="H108" s="49"/>
    </row>
    <row r="109" spans="3:8" ht="6" customHeight="1"/>
    <row r="111" spans="3:8">
      <c r="G111" s="55"/>
      <c r="H111" s="56"/>
    </row>
  </sheetData>
  <mergeCells count="47">
    <mergeCell ref="C2:H5"/>
    <mergeCell ref="C7:H7"/>
    <mergeCell ref="C8:C9"/>
    <mergeCell ref="D8:D9"/>
    <mergeCell ref="F8:F9"/>
    <mergeCell ref="E8:E9"/>
    <mergeCell ref="G8:G9"/>
    <mergeCell ref="H8:H9"/>
    <mergeCell ref="C21:G21"/>
    <mergeCell ref="C23:H23"/>
    <mergeCell ref="C24:C25"/>
    <mergeCell ref="D24:D25"/>
    <mergeCell ref="E24:E25"/>
    <mergeCell ref="F24:F25"/>
    <mergeCell ref="G24:G25"/>
    <mergeCell ref="H24:H25"/>
    <mergeCell ref="C37:G37"/>
    <mergeCell ref="C39:H39"/>
    <mergeCell ref="C40:C41"/>
    <mergeCell ref="D40:D41"/>
    <mergeCell ref="E40:E41"/>
    <mergeCell ref="F40:F41"/>
    <mergeCell ref="G40:G41"/>
    <mergeCell ref="H40:H41"/>
    <mergeCell ref="C53:G53"/>
    <mergeCell ref="C55:H55"/>
    <mergeCell ref="C56:C57"/>
    <mergeCell ref="D56:D57"/>
    <mergeCell ref="E56:E57"/>
    <mergeCell ref="F56:F57"/>
    <mergeCell ref="G56:G57"/>
    <mergeCell ref="H56:H57"/>
    <mergeCell ref="C69:G69"/>
    <mergeCell ref="C70:C71"/>
    <mergeCell ref="D70:D71"/>
    <mergeCell ref="F70:F71"/>
    <mergeCell ref="G70:G71"/>
    <mergeCell ref="H92:H93"/>
    <mergeCell ref="C108:G108"/>
    <mergeCell ref="H70:H71"/>
    <mergeCell ref="C73:G73"/>
    <mergeCell ref="C87:G87"/>
    <mergeCell ref="C91:H91"/>
    <mergeCell ref="C92:C93"/>
    <mergeCell ref="D92:D93"/>
    <mergeCell ref="F92:F93"/>
    <mergeCell ref="G92:G93"/>
  </mergeCells>
  <pageMargins left="0.7" right="0.7" top="0.75" bottom="0.75" header="0.3" footer="0.3"/>
  <pageSetup scale="90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40A5-F2B2-4E72-9FB1-E53015AC38D9}">
  <sheetPr codeName="Sheet14"/>
  <dimension ref="C2:K107"/>
  <sheetViews>
    <sheetView showGridLines="0" topLeftCell="B1" zoomScale="70" zoomScaleNormal="70" workbookViewId="0">
      <selection activeCell="N15" sqref="N15"/>
    </sheetView>
  </sheetViews>
  <sheetFormatPr defaultColWidth="9.26953125" defaultRowHeight="13"/>
  <cols>
    <col min="1" max="2" width="7.7265625" style="20" customWidth="1"/>
    <col min="3" max="3" width="5.26953125" style="20" customWidth="1"/>
    <col min="4" max="4" width="41.7265625" style="20" customWidth="1"/>
    <col min="5" max="5" width="11.453125" style="20" bestFit="1" customWidth="1"/>
    <col min="6" max="6" width="8.54296875" style="20" customWidth="1"/>
    <col min="7" max="7" width="20.26953125" style="20" customWidth="1"/>
    <col min="8" max="8" width="16.7265625" style="20" bestFit="1" customWidth="1"/>
    <col min="9" max="9" width="1.453125" style="20" customWidth="1"/>
    <col min="10" max="10" width="9.26953125" style="20"/>
    <col min="11" max="11" width="11.7265625" style="20" bestFit="1" customWidth="1"/>
    <col min="12" max="16384" width="9.26953125" style="20"/>
  </cols>
  <sheetData>
    <row r="2" spans="3:10">
      <c r="C2" s="195" t="s">
        <v>74</v>
      </c>
      <c r="D2" s="196"/>
      <c r="E2" s="196"/>
      <c r="F2" s="196"/>
      <c r="G2" s="196"/>
      <c r="H2" s="196"/>
    </row>
    <row r="3" spans="3:10">
      <c r="C3" s="196"/>
      <c r="D3" s="196"/>
      <c r="E3" s="196"/>
      <c r="F3" s="196"/>
      <c r="G3" s="196"/>
      <c r="H3" s="196"/>
    </row>
    <row r="4" spans="3:10">
      <c r="C4" s="196"/>
      <c r="D4" s="196"/>
      <c r="E4" s="196"/>
      <c r="F4" s="196"/>
      <c r="G4" s="196"/>
      <c r="H4" s="196"/>
    </row>
    <row r="5" spans="3:10">
      <c r="C5" s="196"/>
      <c r="D5" s="196"/>
      <c r="E5" s="196"/>
      <c r="F5" s="196"/>
      <c r="G5" s="196"/>
      <c r="H5" s="196"/>
    </row>
    <row r="6" spans="3:10" ht="13.5" thickBot="1"/>
    <row r="7" spans="3:10" ht="18" customHeight="1" thickBot="1">
      <c r="C7" s="210" t="s">
        <v>130</v>
      </c>
      <c r="D7" s="187"/>
      <c r="E7" s="187"/>
      <c r="F7" s="187"/>
      <c r="G7" s="187"/>
      <c r="H7" s="188"/>
    </row>
    <row r="8" spans="3:10" ht="15" customHeight="1">
      <c r="C8" s="189" t="s">
        <v>20</v>
      </c>
      <c r="D8" s="191" t="s">
        <v>21</v>
      </c>
      <c r="E8" s="191" t="s">
        <v>22</v>
      </c>
      <c r="F8" s="191" t="s">
        <v>23</v>
      </c>
      <c r="G8" s="191" t="s">
        <v>24</v>
      </c>
      <c r="H8" s="193" t="s">
        <v>25</v>
      </c>
    </row>
    <row r="9" spans="3:10" ht="13.9" customHeight="1" thickBot="1">
      <c r="C9" s="190"/>
      <c r="D9" s="192"/>
      <c r="E9" s="192"/>
      <c r="F9" s="192"/>
      <c r="G9" s="192"/>
      <c r="H9" s="194"/>
    </row>
    <row r="10" spans="3:10" ht="14.5">
      <c r="C10" s="21">
        <v>1</v>
      </c>
      <c r="D10" s="22"/>
      <c r="E10" s="23"/>
      <c r="F10" s="23"/>
      <c r="G10" s="24"/>
      <c r="H10" s="25">
        <f t="shared" ref="H10:H19" si="0">G10*E10</f>
        <v>0</v>
      </c>
      <c r="J10" s="26"/>
    </row>
    <row r="11" spans="3:10" ht="14.5">
      <c r="C11" s="21">
        <f>1+C10</f>
        <v>2</v>
      </c>
      <c r="D11" s="27"/>
      <c r="E11" s="23"/>
      <c r="F11" s="23"/>
      <c r="G11" s="24"/>
      <c r="H11" s="25">
        <f t="shared" si="0"/>
        <v>0</v>
      </c>
      <c r="J11" s="26"/>
    </row>
    <row r="12" spans="3:10" ht="14.5">
      <c r="C12" s="21">
        <f t="shared" ref="C12:C18" si="1">1+C11</f>
        <v>3</v>
      </c>
      <c r="D12" s="27"/>
      <c r="E12" s="23"/>
      <c r="F12" s="23"/>
      <c r="G12" s="28"/>
      <c r="H12" s="25">
        <f t="shared" si="0"/>
        <v>0</v>
      </c>
      <c r="J12" s="26"/>
    </row>
    <row r="13" spans="3:10" ht="14.5">
      <c r="C13" s="21">
        <f t="shared" si="1"/>
        <v>4</v>
      </c>
      <c r="D13" s="27"/>
      <c r="E13" s="23"/>
      <c r="F13" s="23"/>
      <c r="G13" s="28"/>
      <c r="H13" s="25">
        <f>G13*E13</f>
        <v>0</v>
      </c>
      <c r="J13" s="26"/>
    </row>
    <row r="14" spans="3:10" ht="14.5">
      <c r="C14" s="21">
        <f t="shared" si="1"/>
        <v>5</v>
      </c>
      <c r="D14" s="27"/>
      <c r="E14" s="23"/>
      <c r="F14" s="23"/>
      <c r="G14" s="24"/>
      <c r="H14" s="25">
        <f t="shared" si="0"/>
        <v>0</v>
      </c>
      <c r="J14" s="26"/>
    </row>
    <row r="15" spans="3:10" ht="14.5">
      <c r="C15" s="21">
        <f t="shared" si="1"/>
        <v>6</v>
      </c>
      <c r="D15" s="27"/>
      <c r="E15" s="23"/>
      <c r="F15" s="27"/>
      <c r="G15" s="28"/>
      <c r="H15" s="25">
        <f t="shared" si="0"/>
        <v>0</v>
      </c>
      <c r="J15" s="26"/>
    </row>
    <row r="16" spans="3:10" ht="14.5">
      <c r="C16" s="21">
        <f t="shared" si="1"/>
        <v>7</v>
      </c>
      <c r="D16" s="27"/>
      <c r="E16" s="23"/>
      <c r="F16" s="27"/>
      <c r="G16" s="28"/>
      <c r="H16" s="25">
        <f t="shared" si="0"/>
        <v>0</v>
      </c>
      <c r="J16" s="26"/>
    </row>
    <row r="17" spans="3:11" ht="14.5">
      <c r="C17" s="21">
        <f t="shared" si="1"/>
        <v>8</v>
      </c>
      <c r="D17" s="27"/>
      <c r="E17" s="23"/>
      <c r="F17" s="27"/>
      <c r="G17" s="28"/>
      <c r="H17" s="25">
        <f t="shared" si="0"/>
        <v>0</v>
      </c>
      <c r="J17" s="26"/>
    </row>
    <row r="18" spans="3:11" ht="14.5">
      <c r="C18" s="21">
        <f t="shared" si="1"/>
        <v>9</v>
      </c>
      <c r="D18" s="30"/>
      <c r="E18" s="31"/>
      <c r="F18" s="30"/>
      <c r="G18" s="32"/>
      <c r="H18" s="33">
        <f t="shared" si="0"/>
        <v>0</v>
      </c>
      <c r="J18" s="26"/>
    </row>
    <row r="19" spans="3:11" ht="15" thickBot="1">
      <c r="C19" s="34">
        <f>1+C18</f>
        <v>10</v>
      </c>
      <c r="D19" s="35"/>
      <c r="E19" s="36"/>
      <c r="F19" s="37"/>
      <c r="G19" s="38"/>
      <c r="H19" s="39">
        <f t="shared" si="0"/>
        <v>0</v>
      </c>
      <c r="J19" s="26"/>
    </row>
    <row r="20" spans="3:11" ht="16.5" thickBot="1">
      <c r="C20" s="184" t="s">
        <v>13</v>
      </c>
      <c r="D20" s="185"/>
      <c r="E20" s="185"/>
      <c r="F20" s="185"/>
      <c r="G20" s="185"/>
      <c r="H20" s="40">
        <f>SUM(H10:H19)</f>
        <v>0</v>
      </c>
      <c r="I20" s="26">
        <f>H20</f>
        <v>0</v>
      </c>
      <c r="J20" s="26"/>
      <c r="K20" s="41"/>
    </row>
    <row r="21" spans="3:11" ht="13.5" thickBot="1"/>
    <row r="22" spans="3:11" ht="18" customHeight="1" thickBot="1">
      <c r="C22" s="210" t="s">
        <v>131</v>
      </c>
      <c r="D22" s="187"/>
      <c r="E22" s="187"/>
      <c r="F22" s="187"/>
      <c r="G22" s="187"/>
      <c r="H22" s="188"/>
    </row>
    <row r="23" spans="3:11" ht="15" customHeight="1">
      <c r="C23" s="189" t="s">
        <v>20</v>
      </c>
      <c r="D23" s="191" t="s">
        <v>21</v>
      </c>
      <c r="E23" s="191" t="s">
        <v>22</v>
      </c>
      <c r="F23" s="191" t="s">
        <v>23</v>
      </c>
      <c r="G23" s="191" t="s">
        <v>24</v>
      </c>
      <c r="H23" s="193" t="s">
        <v>25</v>
      </c>
    </row>
    <row r="24" spans="3:11" ht="13.9" customHeight="1" thickBot="1">
      <c r="C24" s="190"/>
      <c r="D24" s="192"/>
      <c r="E24" s="192"/>
      <c r="F24" s="192"/>
      <c r="G24" s="192"/>
      <c r="H24" s="194"/>
    </row>
    <row r="25" spans="3:11" ht="14.5">
      <c r="C25" s="21">
        <v>1</v>
      </c>
      <c r="D25" s="22"/>
      <c r="E25" s="23"/>
      <c r="F25" s="23"/>
      <c r="G25" s="24"/>
      <c r="H25" s="25">
        <f>G25*E25</f>
        <v>0</v>
      </c>
      <c r="J25" s="26"/>
    </row>
    <row r="26" spans="3:11" ht="14.5">
      <c r="C26" s="21">
        <f>1+C25</f>
        <v>2</v>
      </c>
      <c r="D26" s="27"/>
      <c r="E26" s="23"/>
      <c r="F26" s="23"/>
      <c r="G26" s="28"/>
      <c r="H26" s="25">
        <f>G26*E26</f>
        <v>0</v>
      </c>
      <c r="J26" s="26"/>
    </row>
    <row r="27" spans="3:11" ht="14.5">
      <c r="C27" s="21">
        <f t="shared" ref="C27:C33" si="2">1+C26</f>
        <v>3</v>
      </c>
      <c r="D27" s="27"/>
      <c r="E27" s="23"/>
      <c r="F27" s="23"/>
      <c r="G27" s="28"/>
      <c r="H27" s="25">
        <f>G27*E27</f>
        <v>0</v>
      </c>
      <c r="J27" s="26"/>
    </row>
    <row r="28" spans="3:11" ht="14.5">
      <c r="C28" s="21">
        <f t="shared" si="2"/>
        <v>4</v>
      </c>
      <c r="D28" s="27"/>
      <c r="E28" s="23"/>
      <c r="F28" s="23"/>
      <c r="G28" s="28"/>
      <c r="H28" s="25">
        <f>G28*E28</f>
        <v>0</v>
      </c>
      <c r="J28" s="26"/>
    </row>
    <row r="29" spans="3:11" ht="14.5">
      <c r="C29" s="21">
        <f t="shared" si="2"/>
        <v>5</v>
      </c>
      <c r="D29" s="27"/>
      <c r="E29" s="23"/>
      <c r="F29" s="23"/>
      <c r="G29" s="24"/>
      <c r="H29" s="25">
        <f t="shared" ref="H29:H34" si="3">G29*E29</f>
        <v>0</v>
      </c>
      <c r="J29" s="26"/>
    </row>
    <row r="30" spans="3:11" ht="14.5">
      <c r="C30" s="21">
        <f t="shared" si="2"/>
        <v>6</v>
      </c>
      <c r="D30" s="27"/>
      <c r="E30" s="23"/>
      <c r="F30" s="27"/>
      <c r="G30" s="28"/>
      <c r="H30" s="25">
        <f t="shared" si="3"/>
        <v>0</v>
      </c>
      <c r="J30" s="26"/>
    </row>
    <row r="31" spans="3:11" ht="14.5">
      <c r="C31" s="21">
        <f t="shared" si="2"/>
        <v>7</v>
      </c>
      <c r="D31" s="27"/>
      <c r="E31" s="23"/>
      <c r="F31" s="27"/>
      <c r="G31" s="28"/>
      <c r="H31" s="25">
        <f t="shared" si="3"/>
        <v>0</v>
      </c>
      <c r="J31" s="26"/>
    </row>
    <row r="32" spans="3:11" ht="14.5">
      <c r="C32" s="21">
        <f t="shared" si="2"/>
        <v>8</v>
      </c>
      <c r="D32" s="27"/>
      <c r="E32" s="23"/>
      <c r="F32" s="27"/>
      <c r="G32" s="28"/>
      <c r="H32" s="25">
        <f t="shared" si="3"/>
        <v>0</v>
      </c>
      <c r="J32" s="26"/>
    </row>
    <row r="33" spans="3:11" ht="14.5">
      <c r="C33" s="21">
        <f t="shared" si="2"/>
        <v>9</v>
      </c>
      <c r="D33" s="30"/>
      <c r="E33" s="31"/>
      <c r="F33" s="30"/>
      <c r="G33" s="32"/>
      <c r="H33" s="33">
        <f t="shared" si="3"/>
        <v>0</v>
      </c>
      <c r="J33" s="26"/>
    </row>
    <row r="34" spans="3:11" ht="15" thickBot="1">
      <c r="C34" s="34">
        <f>1+C33</f>
        <v>10</v>
      </c>
      <c r="D34" s="35"/>
      <c r="E34" s="36"/>
      <c r="F34" s="37"/>
      <c r="G34" s="38"/>
      <c r="H34" s="39">
        <f t="shared" si="3"/>
        <v>0</v>
      </c>
      <c r="J34" s="26"/>
    </row>
    <row r="35" spans="3:11" ht="16.5" thickBot="1">
      <c r="C35" s="184" t="s">
        <v>13</v>
      </c>
      <c r="D35" s="185"/>
      <c r="E35" s="185"/>
      <c r="F35" s="185"/>
      <c r="G35" s="185"/>
      <c r="H35" s="40">
        <f>SUM(H25:H34)</f>
        <v>0</v>
      </c>
      <c r="I35" s="26">
        <f>H35</f>
        <v>0</v>
      </c>
      <c r="J35" s="26"/>
      <c r="K35" s="41"/>
    </row>
    <row r="36" spans="3:11" ht="13.5" thickBot="1">
      <c r="H36" s="42"/>
    </row>
    <row r="37" spans="3:11" ht="18" customHeight="1" thickBot="1">
      <c r="C37" s="210" t="s">
        <v>132</v>
      </c>
      <c r="D37" s="187"/>
      <c r="E37" s="187"/>
      <c r="F37" s="187"/>
      <c r="G37" s="187"/>
      <c r="H37" s="188"/>
    </row>
    <row r="38" spans="3:11" ht="15" customHeight="1">
      <c r="C38" s="189" t="s">
        <v>20</v>
      </c>
      <c r="D38" s="191" t="s">
        <v>21</v>
      </c>
      <c r="E38" s="191" t="s">
        <v>22</v>
      </c>
      <c r="F38" s="191" t="s">
        <v>23</v>
      </c>
      <c r="G38" s="191" t="s">
        <v>24</v>
      </c>
      <c r="H38" s="193" t="s">
        <v>25</v>
      </c>
    </row>
    <row r="39" spans="3:11" ht="13.9" customHeight="1" thickBot="1">
      <c r="C39" s="190"/>
      <c r="D39" s="192"/>
      <c r="E39" s="192"/>
      <c r="F39" s="192"/>
      <c r="G39" s="192"/>
      <c r="H39" s="194"/>
    </row>
    <row r="40" spans="3:11" ht="14.5">
      <c r="C40" s="21">
        <v>1</v>
      </c>
      <c r="D40" s="22"/>
      <c r="E40" s="23"/>
      <c r="F40" s="23"/>
      <c r="G40" s="24"/>
      <c r="H40" s="25">
        <f>G40*E40</f>
        <v>0</v>
      </c>
      <c r="J40" s="26"/>
    </row>
    <row r="41" spans="3:11" ht="14.5">
      <c r="C41" s="21">
        <f>1+C40</f>
        <v>2</v>
      </c>
      <c r="D41" s="27"/>
      <c r="E41" s="23"/>
      <c r="F41" s="23"/>
      <c r="G41" s="24"/>
      <c r="H41" s="25">
        <f>G41*E41</f>
        <v>0</v>
      </c>
      <c r="J41" s="26"/>
    </row>
    <row r="42" spans="3:11" ht="14.5">
      <c r="C42" s="21">
        <f t="shared" ref="C42:C48" si="4">1+C41</f>
        <v>3</v>
      </c>
      <c r="D42" s="27"/>
      <c r="E42" s="23"/>
      <c r="F42" s="23"/>
      <c r="G42" s="28"/>
      <c r="H42" s="25">
        <f>G42*E42</f>
        <v>0</v>
      </c>
      <c r="J42" s="26"/>
    </row>
    <row r="43" spans="3:11" ht="14.5">
      <c r="C43" s="21">
        <f t="shared" si="4"/>
        <v>4</v>
      </c>
      <c r="D43" s="27"/>
      <c r="E43" s="23"/>
      <c r="F43" s="23"/>
      <c r="G43" s="28"/>
      <c r="H43" s="25">
        <f>G43*E43</f>
        <v>0</v>
      </c>
      <c r="J43" s="26"/>
    </row>
    <row r="44" spans="3:11" ht="14.5">
      <c r="C44" s="21">
        <f t="shared" si="4"/>
        <v>5</v>
      </c>
      <c r="D44" s="27"/>
      <c r="E44" s="23"/>
      <c r="F44" s="23"/>
      <c r="G44" s="24"/>
      <c r="H44" s="25">
        <f t="shared" ref="H44:H49" si="5">G44*E44</f>
        <v>0</v>
      </c>
      <c r="J44" s="26"/>
    </row>
    <row r="45" spans="3:11" ht="14.5">
      <c r="C45" s="21">
        <f t="shared" si="4"/>
        <v>6</v>
      </c>
      <c r="D45" s="27"/>
      <c r="E45" s="23"/>
      <c r="F45" s="68"/>
      <c r="G45" s="24"/>
      <c r="H45" s="25">
        <f t="shared" si="5"/>
        <v>0</v>
      </c>
      <c r="J45" s="26"/>
    </row>
    <row r="46" spans="3:11" ht="14.5">
      <c r="C46" s="21">
        <f t="shared" si="4"/>
        <v>7</v>
      </c>
      <c r="D46" s="27"/>
      <c r="E46" s="23"/>
      <c r="F46" s="68"/>
      <c r="G46" s="24"/>
      <c r="H46" s="25">
        <f t="shared" si="5"/>
        <v>0</v>
      </c>
      <c r="J46" s="26"/>
    </row>
    <row r="47" spans="3:11" ht="14.5">
      <c r="C47" s="21">
        <f t="shared" si="4"/>
        <v>8</v>
      </c>
      <c r="D47" s="27"/>
      <c r="E47" s="23"/>
      <c r="F47" s="27"/>
      <c r="G47" s="28"/>
      <c r="H47" s="25">
        <f t="shared" si="5"/>
        <v>0</v>
      </c>
      <c r="J47" s="26"/>
    </row>
    <row r="48" spans="3:11" ht="14.5">
      <c r="C48" s="21">
        <f t="shared" si="4"/>
        <v>9</v>
      </c>
      <c r="D48" s="30"/>
      <c r="E48" s="31"/>
      <c r="F48" s="30"/>
      <c r="G48" s="32"/>
      <c r="H48" s="33">
        <f t="shared" si="5"/>
        <v>0</v>
      </c>
      <c r="J48" s="26"/>
    </row>
    <row r="49" spans="3:11" ht="15" thickBot="1">
      <c r="C49" s="34">
        <f>1+C48</f>
        <v>10</v>
      </c>
      <c r="D49" s="35"/>
      <c r="E49" s="36"/>
      <c r="F49" s="37"/>
      <c r="G49" s="38"/>
      <c r="H49" s="39">
        <f t="shared" si="5"/>
        <v>0</v>
      </c>
      <c r="J49" s="26"/>
    </row>
    <row r="50" spans="3:11" ht="16.5" thickBot="1">
      <c r="C50" s="184" t="s">
        <v>13</v>
      </c>
      <c r="D50" s="185"/>
      <c r="E50" s="185"/>
      <c r="F50" s="185"/>
      <c r="G50" s="185"/>
      <c r="H50" s="40">
        <f>SUM(H40:H49)</f>
        <v>0</v>
      </c>
      <c r="I50" s="26">
        <f>H50</f>
        <v>0</v>
      </c>
      <c r="J50" s="26"/>
      <c r="K50" s="41"/>
    </row>
    <row r="51" spans="3:11" ht="13.5" thickBot="1">
      <c r="H51" s="43"/>
    </row>
    <row r="52" spans="3:11" ht="18" customHeight="1" thickBot="1">
      <c r="C52" s="210" t="s">
        <v>133</v>
      </c>
      <c r="D52" s="187"/>
      <c r="E52" s="187"/>
      <c r="F52" s="187"/>
      <c r="G52" s="187"/>
      <c r="H52" s="188"/>
    </row>
    <row r="53" spans="3:11" ht="15" customHeight="1">
      <c r="C53" s="189" t="s">
        <v>20</v>
      </c>
      <c r="D53" s="191" t="s">
        <v>21</v>
      </c>
      <c r="E53" s="191" t="s">
        <v>22</v>
      </c>
      <c r="F53" s="191" t="s">
        <v>23</v>
      </c>
      <c r="G53" s="191" t="s">
        <v>24</v>
      </c>
      <c r="H53" s="193" t="s">
        <v>25</v>
      </c>
    </row>
    <row r="54" spans="3:11" ht="13.9" customHeight="1" thickBot="1">
      <c r="C54" s="190"/>
      <c r="D54" s="192"/>
      <c r="E54" s="192"/>
      <c r="F54" s="192"/>
      <c r="G54" s="192"/>
      <c r="H54" s="194"/>
    </row>
    <row r="55" spans="3:11" ht="14.5">
      <c r="C55" s="21">
        <v>1</v>
      </c>
      <c r="D55" s="79" t="s">
        <v>67</v>
      </c>
      <c r="E55" s="80">
        <v>1</v>
      </c>
      <c r="F55" s="80" t="s">
        <v>68</v>
      </c>
      <c r="G55" s="81"/>
      <c r="H55" s="25">
        <f t="shared" ref="H55:H61" si="6">G55*E55</f>
        <v>0</v>
      </c>
      <c r="J55" s="26"/>
    </row>
    <row r="56" spans="3:11" ht="14.5">
      <c r="C56" s="21">
        <f t="shared" ref="C56:C62" si="7">1+C55</f>
        <v>2</v>
      </c>
      <c r="D56" s="84" t="s">
        <v>69</v>
      </c>
      <c r="E56" s="82">
        <v>1</v>
      </c>
      <c r="F56" s="82" t="s">
        <v>68</v>
      </c>
      <c r="G56" s="83"/>
      <c r="H56" s="25">
        <f t="shared" si="6"/>
        <v>0</v>
      </c>
      <c r="J56" s="26"/>
    </row>
    <row r="57" spans="3:11" ht="14.5">
      <c r="C57" s="21">
        <f t="shared" si="7"/>
        <v>3</v>
      </c>
      <c r="D57" s="85" t="s">
        <v>70</v>
      </c>
      <c r="E57" s="86">
        <v>1</v>
      </c>
      <c r="F57" s="82" t="s">
        <v>68</v>
      </c>
      <c r="G57" s="87"/>
      <c r="H57" s="25">
        <f t="shared" si="6"/>
        <v>0</v>
      </c>
      <c r="J57" s="26"/>
    </row>
    <row r="58" spans="3:11" ht="14.5">
      <c r="C58" s="21">
        <f t="shared" si="7"/>
        <v>4</v>
      </c>
      <c r="D58" s="27"/>
      <c r="E58" s="23"/>
      <c r="F58" s="59"/>
      <c r="G58" s="28"/>
      <c r="H58" s="25">
        <f t="shared" si="6"/>
        <v>0</v>
      </c>
      <c r="J58" s="26"/>
    </row>
    <row r="59" spans="3:11" ht="14.5">
      <c r="C59" s="21">
        <f t="shared" si="7"/>
        <v>5</v>
      </c>
      <c r="D59" s="65"/>
      <c r="E59" s="23"/>
      <c r="F59" s="59"/>
      <c r="G59" s="70"/>
      <c r="H59" s="25">
        <f t="shared" si="6"/>
        <v>0</v>
      </c>
      <c r="J59" s="26"/>
    </row>
    <row r="60" spans="3:11" ht="14.5">
      <c r="C60" s="21">
        <f t="shared" si="7"/>
        <v>6</v>
      </c>
      <c r="D60" s="65"/>
      <c r="E60" s="23"/>
      <c r="F60" s="59"/>
      <c r="G60" s="70"/>
      <c r="H60" s="25">
        <f t="shared" si="6"/>
        <v>0</v>
      </c>
      <c r="J60" s="26"/>
    </row>
    <row r="61" spans="3:11" ht="14.5">
      <c r="C61" s="21">
        <f t="shared" si="7"/>
        <v>7</v>
      </c>
      <c r="D61" s="65"/>
      <c r="E61" s="23"/>
      <c r="F61" s="59"/>
      <c r="G61" s="70"/>
      <c r="H61" s="25">
        <f t="shared" si="6"/>
        <v>0</v>
      </c>
      <c r="J61" s="26"/>
    </row>
    <row r="62" spans="3:11" ht="14.5">
      <c r="C62" s="21">
        <f t="shared" si="7"/>
        <v>8</v>
      </c>
      <c r="D62" s="27"/>
      <c r="E62" s="23"/>
      <c r="F62" s="59"/>
      <c r="G62" s="28"/>
      <c r="H62" s="25">
        <f t="shared" ref="H62:H64" si="8">G62*E62</f>
        <v>0</v>
      </c>
      <c r="J62" s="26"/>
    </row>
    <row r="63" spans="3:11" ht="14.5">
      <c r="C63" s="21">
        <f t="shared" ref="C63" si="9">1+C62</f>
        <v>9</v>
      </c>
      <c r="D63" s="27"/>
      <c r="E63" s="31"/>
      <c r="F63" s="59"/>
      <c r="G63" s="28"/>
      <c r="H63" s="33">
        <f t="shared" si="8"/>
        <v>0</v>
      </c>
      <c r="J63" s="26"/>
    </row>
    <row r="64" spans="3:11" ht="15" thickBot="1">
      <c r="C64" s="34">
        <f>1+C63</f>
        <v>10</v>
      </c>
      <c r="D64" s="35"/>
      <c r="E64" s="36"/>
      <c r="F64" s="59"/>
      <c r="G64" s="28"/>
      <c r="H64" s="39">
        <f t="shared" si="8"/>
        <v>0</v>
      </c>
      <c r="J64" s="26"/>
    </row>
    <row r="65" spans="3:11" ht="16.5" thickBot="1">
      <c r="C65" s="184" t="s">
        <v>13</v>
      </c>
      <c r="D65" s="185"/>
      <c r="E65" s="185"/>
      <c r="F65" s="185"/>
      <c r="G65" s="185"/>
      <c r="H65" s="40">
        <f>SUM(H55:H64)</f>
        <v>0</v>
      </c>
      <c r="I65" s="26">
        <f>H65</f>
        <v>0</v>
      </c>
      <c r="J65" s="26"/>
      <c r="K65" s="41"/>
    </row>
    <row r="66" spans="3:11" ht="15" customHeight="1">
      <c r="C66" s="178"/>
      <c r="D66" s="178"/>
      <c r="E66" s="44"/>
      <c r="F66" s="178"/>
      <c r="G66" s="178"/>
      <c r="H66" s="178"/>
    </row>
    <row r="67" spans="3:11" ht="14.5">
      <c r="C67" s="178"/>
      <c r="D67" s="178"/>
      <c r="E67" s="44"/>
      <c r="F67" s="178"/>
      <c r="G67" s="178"/>
      <c r="H67" s="178"/>
    </row>
    <row r="68" spans="3:11" ht="15" thickBot="1">
      <c r="C68" s="45"/>
      <c r="E68" s="46"/>
      <c r="F68" s="47"/>
      <c r="G68" s="48"/>
      <c r="H68" s="49"/>
    </row>
    <row r="69" spans="3:11" ht="21.4" customHeight="1" thickBot="1">
      <c r="C69" s="180" t="s">
        <v>27</v>
      </c>
      <c r="D69" s="181"/>
      <c r="E69" s="181"/>
      <c r="F69" s="181"/>
      <c r="G69" s="182"/>
      <c r="H69" s="50">
        <f>SUM(I:I)</f>
        <v>0</v>
      </c>
    </row>
    <row r="70" spans="3:11" ht="14.5">
      <c r="C70" s="45"/>
      <c r="E70" s="46"/>
      <c r="F70" s="47"/>
      <c r="G70" s="48"/>
      <c r="H70" s="49"/>
    </row>
    <row r="71" spans="3:11" ht="15" customHeight="1">
      <c r="C71" s="45"/>
      <c r="E71" s="46"/>
      <c r="F71" s="47"/>
      <c r="G71" s="48"/>
      <c r="H71" s="49"/>
    </row>
    <row r="72" spans="3:11" ht="14.5">
      <c r="C72" s="45"/>
      <c r="E72" s="46"/>
      <c r="F72" s="47"/>
      <c r="G72" s="48"/>
      <c r="H72" s="49"/>
    </row>
    <row r="73" spans="3:11" ht="14.5">
      <c r="C73" s="45"/>
      <c r="E73" s="46"/>
      <c r="F73" s="47"/>
      <c r="G73" s="48"/>
      <c r="H73" s="49"/>
    </row>
    <row r="74" spans="3:11" ht="14.5">
      <c r="C74" s="45"/>
      <c r="E74" s="46"/>
      <c r="F74" s="47"/>
      <c r="G74" s="48"/>
      <c r="H74" s="49"/>
    </row>
    <row r="75" spans="3:11" ht="14.5">
      <c r="C75" s="45"/>
      <c r="E75" s="46"/>
      <c r="F75" s="47"/>
      <c r="G75" s="48"/>
      <c r="H75" s="49"/>
    </row>
    <row r="76" spans="3:11" ht="14.5">
      <c r="C76" s="45"/>
      <c r="D76" s="51"/>
      <c r="E76" s="46"/>
      <c r="F76" s="47"/>
      <c r="G76" s="52"/>
      <c r="H76" s="49"/>
    </row>
    <row r="77" spans="3:11" ht="14.5">
      <c r="C77" s="45"/>
      <c r="D77" s="51"/>
      <c r="E77" s="46"/>
      <c r="F77" s="47"/>
      <c r="G77" s="53"/>
      <c r="H77" s="49"/>
    </row>
    <row r="78" spans="3:11" ht="14.25" customHeight="1">
      <c r="C78" s="45"/>
      <c r="D78" s="51"/>
      <c r="E78" s="46"/>
      <c r="F78" s="47"/>
      <c r="G78" s="53"/>
      <c r="H78" s="49"/>
    </row>
    <row r="79" spans="3:11" ht="14.5">
      <c r="C79" s="45"/>
      <c r="D79" s="51"/>
      <c r="E79" s="46"/>
      <c r="F79" s="47"/>
      <c r="G79" s="53"/>
      <c r="H79" s="49"/>
    </row>
    <row r="80" spans="3:11" ht="14.5">
      <c r="C80" s="45"/>
      <c r="D80" s="51"/>
      <c r="E80" s="46"/>
      <c r="F80" s="47"/>
      <c r="G80" s="53"/>
      <c r="H80" s="49"/>
    </row>
    <row r="81" spans="3:8" ht="14.5">
      <c r="C81" s="45"/>
      <c r="D81" s="51"/>
      <c r="E81" s="46"/>
      <c r="F81" s="47"/>
      <c r="G81" s="53"/>
      <c r="H81" s="49"/>
    </row>
    <row r="82" spans="3:8" ht="14.5">
      <c r="C82" s="45"/>
      <c r="D82" s="51"/>
      <c r="E82" s="46"/>
      <c r="F82" s="51"/>
      <c r="G82" s="53"/>
      <c r="H82" s="49"/>
    </row>
    <row r="83" spans="3:8" ht="14.5">
      <c r="C83" s="179"/>
      <c r="D83" s="179"/>
      <c r="E83" s="179"/>
      <c r="F83" s="179"/>
      <c r="G83" s="179"/>
      <c r="H83" s="49"/>
    </row>
    <row r="84" spans="3:8" ht="6" customHeight="1"/>
    <row r="87" spans="3:8" ht="18" customHeight="1">
      <c r="C87" s="183"/>
      <c r="D87" s="183"/>
      <c r="E87" s="183"/>
      <c r="F87" s="183"/>
      <c r="G87" s="183"/>
      <c r="H87" s="183"/>
    </row>
    <row r="88" spans="3:8" ht="15" customHeight="1">
      <c r="C88" s="178"/>
      <c r="D88" s="178"/>
      <c r="E88" s="44"/>
      <c r="F88" s="178"/>
      <c r="G88" s="178"/>
      <c r="H88" s="178"/>
    </row>
    <row r="89" spans="3:8" ht="14.5">
      <c r="C89" s="178"/>
      <c r="D89" s="178"/>
      <c r="E89" s="44"/>
      <c r="F89" s="178"/>
      <c r="G89" s="178"/>
      <c r="H89" s="178"/>
    </row>
    <row r="90" spans="3:8" ht="14.5">
      <c r="C90" s="45"/>
      <c r="E90" s="46"/>
      <c r="F90" s="47"/>
      <c r="G90" s="48"/>
      <c r="H90" s="49"/>
    </row>
    <row r="91" spans="3:8" ht="14.5">
      <c r="C91" s="45"/>
      <c r="D91" s="51"/>
      <c r="E91" s="46"/>
      <c r="F91" s="47"/>
      <c r="G91" s="52"/>
      <c r="H91" s="49"/>
    </row>
    <row r="92" spans="3:8" ht="15" customHeight="1">
      <c r="C92" s="45"/>
      <c r="D92" s="51"/>
      <c r="E92" s="46"/>
      <c r="F92" s="47"/>
      <c r="G92" s="53"/>
      <c r="H92" s="49"/>
    </row>
    <row r="93" spans="3:8" ht="14.5">
      <c r="C93" s="45"/>
      <c r="D93" s="51"/>
      <c r="E93" s="46"/>
      <c r="F93" s="47"/>
      <c r="G93" s="53"/>
      <c r="H93" s="49"/>
    </row>
    <row r="94" spans="3:8" ht="14.5">
      <c r="C94" s="45"/>
      <c r="D94" s="51"/>
      <c r="E94" s="46"/>
      <c r="F94" s="47"/>
      <c r="G94" s="53"/>
      <c r="H94" s="49"/>
    </row>
    <row r="95" spans="3:8" ht="14.5">
      <c r="C95" s="45"/>
      <c r="E95" s="46"/>
      <c r="F95" s="47"/>
      <c r="G95" s="48"/>
      <c r="H95" s="49"/>
    </row>
    <row r="96" spans="3:8" ht="14.5">
      <c r="C96" s="45"/>
      <c r="D96" s="51"/>
      <c r="E96" s="46"/>
      <c r="F96" s="47"/>
      <c r="G96" s="53"/>
      <c r="H96" s="49"/>
    </row>
    <row r="97" spans="3:8" ht="14.5">
      <c r="C97" s="45"/>
      <c r="E97" s="46"/>
      <c r="F97" s="47"/>
      <c r="G97" s="48"/>
      <c r="H97" s="49"/>
    </row>
    <row r="98" spans="3:8" ht="14.5">
      <c r="C98" s="45"/>
      <c r="D98" s="51"/>
      <c r="E98" s="46"/>
      <c r="F98" s="47"/>
      <c r="G98" s="53"/>
      <c r="H98" s="49"/>
    </row>
    <row r="99" spans="3:8" ht="14.5">
      <c r="C99" s="45"/>
      <c r="D99" s="51"/>
      <c r="E99" s="46"/>
      <c r="F99" s="47"/>
      <c r="G99" s="53"/>
      <c r="H99" s="49"/>
    </row>
    <row r="100" spans="3:8" ht="14.25" customHeight="1">
      <c r="C100" s="45"/>
      <c r="D100" s="51"/>
      <c r="E100" s="46"/>
      <c r="F100" s="51"/>
      <c r="G100" s="53"/>
      <c r="H100" s="49"/>
    </row>
    <row r="101" spans="3:8" ht="14.5">
      <c r="C101" s="45"/>
      <c r="D101" s="51"/>
      <c r="E101" s="46"/>
      <c r="F101" s="54"/>
      <c r="G101" s="53"/>
      <c r="H101" s="49"/>
    </row>
    <row r="102" spans="3:8" ht="14.5">
      <c r="C102" s="45"/>
      <c r="D102" s="51"/>
      <c r="E102" s="46"/>
      <c r="F102" s="54"/>
      <c r="G102" s="53"/>
      <c r="H102" s="49"/>
    </row>
    <row r="103" spans="3:8" ht="14.5">
      <c r="C103" s="45"/>
      <c r="D103" s="51"/>
      <c r="E103" s="46"/>
      <c r="F103" s="54"/>
      <c r="G103" s="53"/>
      <c r="H103" s="49"/>
    </row>
    <row r="104" spans="3:8" ht="14.5">
      <c r="C104" s="179"/>
      <c r="D104" s="179"/>
      <c r="E104" s="179"/>
      <c r="F104" s="179"/>
      <c r="G104" s="179"/>
      <c r="H104" s="49"/>
    </row>
    <row r="105" spans="3:8" ht="6" customHeight="1"/>
    <row r="107" spans="3:8">
      <c r="G107" s="55"/>
      <c r="H107" s="56"/>
    </row>
  </sheetData>
  <mergeCells count="47">
    <mergeCell ref="C2:H5"/>
    <mergeCell ref="C7:H7"/>
    <mergeCell ref="C8:C9"/>
    <mergeCell ref="D8:D9"/>
    <mergeCell ref="E8:E9"/>
    <mergeCell ref="F8:F9"/>
    <mergeCell ref="G8:G9"/>
    <mergeCell ref="H8:H9"/>
    <mergeCell ref="C20:G20"/>
    <mergeCell ref="C22:H22"/>
    <mergeCell ref="C23:C24"/>
    <mergeCell ref="D23:D24"/>
    <mergeCell ref="E23:E24"/>
    <mergeCell ref="F23:F24"/>
    <mergeCell ref="G23:G24"/>
    <mergeCell ref="H23:H24"/>
    <mergeCell ref="C35:G35"/>
    <mergeCell ref="C37:H37"/>
    <mergeCell ref="C38:C39"/>
    <mergeCell ref="D38:D39"/>
    <mergeCell ref="E38:E39"/>
    <mergeCell ref="F38:F39"/>
    <mergeCell ref="G38:G39"/>
    <mergeCell ref="H38:H39"/>
    <mergeCell ref="C50:G50"/>
    <mergeCell ref="C52:H52"/>
    <mergeCell ref="C53:C54"/>
    <mergeCell ref="D53:D54"/>
    <mergeCell ref="E53:E54"/>
    <mergeCell ref="F53:F54"/>
    <mergeCell ref="G53:G54"/>
    <mergeCell ref="H53:H54"/>
    <mergeCell ref="C65:G65"/>
    <mergeCell ref="C66:C67"/>
    <mergeCell ref="D66:D67"/>
    <mergeCell ref="F66:F67"/>
    <mergeCell ref="G66:G67"/>
    <mergeCell ref="H88:H89"/>
    <mergeCell ref="C104:G104"/>
    <mergeCell ref="H66:H67"/>
    <mergeCell ref="C69:G69"/>
    <mergeCell ref="C83:G83"/>
    <mergeCell ref="C87:H87"/>
    <mergeCell ref="C88:C89"/>
    <mergeCell ref="D88:D89"/>
    <mergeCell ref="F88:F89"/>
    <mergeCell ref="G88:G89"/>
  </mergeCells>
  <pageMargins left="0.7" right="0.7" top="0.75" bottom="0.75" header="0.3" footer="0.3"/>
  <pageSetup scale="90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3b19e0-a06d-4027-b1ef-a980ee54fc27">
      <Terms xmlns="http://schemas.microsoft.com/office/infopath/2007/PartnerControls"/>
    </lcf76f155ced4ddcb4097134ff3c332f>
    <TaxCatchAll xmlns="e43ec466-17dd-4e2e-9db3-691f307955d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28DBC71A144C42A5CE727BB9FD151C" ma:contentTypeVersion="16" ma:contentTypeDescription="Create a new document." ma:contentTypeScope="" ma:versionID="4a97f967e7e9b9dcc36c044bcacffb30">
  <xsd:schema xmlns:xsd="http://www.w3.org/2001/XMLSchema" xmlns:xs="http://www.w3.org/2001/XMLSchema" xmlns:p="http://schemas.microsoft.com/office/2006/metadata/properties" xmlns:ns2="e43ec466-17dd-4e2e-9db3-691f307955d0" xmlns:ns3="733b19e0-a06d-4027-b1ef-a980ee54fc27" targetNamespace="http://schemas.microsoft.com/office/2006/metadata/properties" ma:root="true" ma:fieldsID="ee62466a8e2f887663d0f970900cbc01" ns2:_="" ns3:_="">
    <xsd:import namespace="e43ec466-17dd-4e2e-9db3-691f307955d0"/>
    <xsd:import namespace="733b19e0-a06d-4027-b1ef-a980ee54fc2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ec466-17dd-4e2e-9db3-691f307955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be2193-db06-4192-b888-0a16a5b453d5}" ma:internalName="TaxCatchAll" ma:showField="CatchAllData" ma:web="e43ec466-17dd-4e2e-9db3-691f307955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b19e0-a06d-4027-b1ef-a980ee54f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d74a29d-bbd6-4927-bbfc-9fa919d0c7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859761-AB52-4813-97F8-B115E184E4C4}">
  <ds:schemaRefs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733b19e0-a06d-4027-b1ef-a980ee54fc27"/>
    <ds:schemaRef ds:uri="e43ec466-17dd-4e2e-9db3-691f307955d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E61A451-A43D-4D0B-9915-E5396B4E4D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3ec466-17dd-4e2e-9db3-691f307955d0"/>
    <ds:schemaRef ds:uri="733b19e0-a06d-4027-b1ef-a980ee54f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37CC74-B5C2-4E69-A7ED-0634801FFA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WBS</vt:lpstr>
      <vt:lpstr>HCGA Okt 2026</vt:lpstr>
      <vt:lpstr>ATK</vt:lpstr>
      <vt:lpstr>BBM</vt:lpstr>
      <vt:lpstr>Catering</vt:lpstr>
      <vt:lpstr>Perdin &amp; Cuti</vt:lpstr>
      <vt:lpstr>Listrik PLN</vt:lpstr>
      <vt:lpstr>Air PDAM</vt:lpstr>
      <vt:lpstr>Telp &amp; Internet</vt:lpstr>
      <vt:lpstr>Pantry</vt:lpstr>
      <vt:lpstr>KHL</vt:lpstr>
      <vt:lpstr>'Air PDAM'!Print_Area</vt:lpstr>
      <vt:lpstr>ATK!Print_Area</vt:lpstr>
      <vt:lpstr>BBM!Print_Area</vt:lpstr>
      <vt:lpstr>Catering!Print_Area</vt:lpstr>
      <vt:lpstr>'HCGA Okt 2026'!Print_Area</vt:lpstr>
      <vt:lpstr>KHL!Print_Area</vt:lpstr>
      <vt:lpstr>'Listrik PLN'!Print_Area</vt:lpstr>
      <vt:lpstr>Pantry!Print_Area</vt:lpstr>
      <vt:lpstr>'Perdin &amp; Cuti'!Print_Area</vt:lpstr>
      <vt:lpstr>'Telp &amp; Internet'!Print_Area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Nana Supriatna</dc:creator>
  <cp:keywords/>
  <dc:description/>
  <cp:lastModifiedBy>Nur Chanifah</cp:lastModifiedBy>
  <cp:revision/>
  <cp:lastPrinted>2026-09-18T07:54:15Z</cp:lastPrinted>
  <dcterms:created xsi:type="dcterms:W3CDTF">2025-10-24T02:28:29Z</dcterms:created>
  <dcterms:modified xsi:type="dcterms:W3CDTF">2026-09-23T09:05:02Z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0x0101009528DBC71A144C42A5CE727BB9FD151C</vt:lpwstr>
  </property>
  <property fmtid="{D5CDD505-2E9C-101B-9397-08002B2CF9AE}" pid="3" name="MediaServiceImageTags">
    <vt:lpwstr/>
  </property>
</Properties>
</file>