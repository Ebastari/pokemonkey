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EBL\Data EBL\"/>
    </mc:Choice>
  </mc:AlternateContent>
  <xr:revisionPtr revIDLastSave="0" documentId="13_ncr:1_{95C6AC6F-F473-40BB-9CC1-D2F3CDDFA308}" xr6:coauthVersionLast="47" xr6:coauthVersionMax="47" xr10:uidLastSave="{00000000-0000-0000-0000-000000000000}"/>
  <bookViews>
    <workbookView xWindow="-110" yWindow="-110" windowWidth="19420" windowHeight="10420" activeTab="0" xr2:uid="{78250874-BAB1-4F11-AA9B-88FD4B3FD9DB}"/>
  </bookViews>
  <sheets>
    <sheet name="RAB RNR" sheetId="1" r:id="rId2"/>
    <sheet name="Kategori" sheetId="2" r:id="rId3"/>
  </sheets>
  <definedNames>
    <definedName name="_xlnm.Print_Area" localSheetId="0">'RAB RNR'!$B$2:$J$34</definedName>
    <definedName name="_xlnm.Print_Area" localSheetId="1">Kategori!$B$2:$H$67</definedName>
  </definedNames>
  <calcPr calcId="191029" fullCalcOnLoad="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<sst xmlns="http://schemas.openxmlformats.org/spreadsheetml/2006/main" count="613" uniqueCount="197">
  <si>
    <t>Hasnur Group</t>
  </si>
  <si>
    <t>Lokasi</t>
  </si>
  <si>
    <t>Periode</t>
  </si>
  <si>
    <t>Kepada</t>
  </si>
  <si>
    <t>Finance HO</t>
  </si>
  <si>
    <t>Up.</t>
  </si>
  <si>
    <t>No. RAB</t>
  </si>
  <si>
    <t>NO.</t>
  </si>
  <si>
    <t>Uraian</t>
  </si>
  <si>
    <t>Minggu I</t>
  </si>
  <si>
    <t>Minggu II</t>
  </si>
  <si>
    <t>Minggu III</t>
  </si>
  <si>
    <t>Minggu IV</t>
  </si>
  <si>
    <t>Total</t>
  </si>
  <si>
    <t>Keperluan ATK</t>
  </si>
  <si>
    <t>Keperluan BBM</t>
  </si>
  <si>
    <t>Kebutuhan Catering</t>
  </si>
  <si>
    <t>Keperluan Listrik PLN</t>
  </si>
  <si>
    <t>Keperluan Pantry</t>
  </si>
  <si>
    <t>Keperluan Upah KHL</t>
  </si>
  <si>
    <t>No</t>
  </si>
  <si>
    <t>Nama Barang/Jasa</t>
  </si>
  <si>
    <t>Qty</t>
  </si>
  <si>
    <t>Satuan</t>
  </si>
  <si>
    <t>Harga Satuan</t>
  </si>
  <si>
    <t>Total Harga</t>
  </si>
  <si>
    <t>Pack</t>
  </si>
  <si>
    <t>Grand Total</t>
  </si>
  <si>
    <t>BBM Honda CRF BG 2053 BBF</t>
  </si>
  <si>
    <t>BBM Toyota Hilux Vendor Bobby 1</t>
  </si>
  <si>
    <t>BBM Toyota Hilux Vendor Bobby 2</t>
  </si>
  <si>
    <t>BBM Toyota Hilux Vendor Bobby 3</t>
  </si>
  <si>
    <t>Karyawan</t>
  </si>
  <si>
    <t>KHL</t>
  </si>
  <si>
    <t>PPAD</t>
  </si>
  <si>
    <t>Nama</t>
  </si>
  <si>
    <t>Jml Hari</t>
  </si>
  <si>
    <t>Makan/Hari</t>
  </si>
  <si>
    <t>Per Meal</t>
  </si>
  <si>
    <t>Pak Widodo</t>
  </si>
  <si>
    <t>Bu Ijah</t>
  </si>
  <si>
    <t>Catering Staff (7 Orang)</t>
  </si>
  <si>
    <t>Haris</t>
  </si>
  <si>
    <t>Bu Suryani</t>
  </si>
  <si>
    <t>Catering KHL (3 Orang)</t>
  </si>
  <si>
    <t>Gautama</t>
  </si>
  <si>
    <t>KHL Security Mess</t>
  </si>
  <si>
    <t>Aceng</t>
  </si>
  <si>
    <t>Dimas</t>
  </si>
  <si>
    <t>Heri Setiawan</t>
  </si>
  <si>
    <t>Pengganti SHE</t>
  </si>
  <si>
    <t>Grantotal</t>
  </si>
  <si>
    <t>Biaya perjalanan dinas &amp; Cuti</t>
  </si>
  <si>
    <t>Bks</t>
  </si>
  <si>
    <t>Pembersih Kamar mandi</t>
  </si>
  <si>
    <t>btl</t>
  </si>
  <si>
    <t>Tissue</t>
  </si>
  <si>
    <t>pack</t>
  </si>
  <si>
    <t>Pengharum Ruangan</t>
  </si>
  <si>
    <t>pcs</t>
  </si>
  <si>
    <t>Trashbag</t>
  </si>
  <si>
    <t>Pembersih Lantai</t>
  </si>
  <si>
    <t>Kamper Kamar mandi</t>
  </si>
  <si>
    <t>bks</t>
  </si>
  <si>
    <t>Semprotan nyamuk</t>
  </si>
  <si>
    <t>Obat nyamuk bakar</t>
  </si>
  <si>
    <t>Sabun cuci piring</t>
  </si>
  <si>
    <t>Upah ART Bu Ijah (Mess &amp; Kantor Sungai Lilin)</t>
  </si>
  <si>
    <t>Orang</t>
  </si>
  <si>
    <t>Upah ART Bu Suryani (Mess Tritunggal 1)</t>
  </si>
  <si>
    <t>Upah KHL M. Nuh (Security Mess Sungai lilin)</t>
  </si>
  <si>
    <t>Desc. WBS</t>
  </si>
  <si>
    <t>: Site EBL - RANTAU</t>
  </si>
  <si>
    <t>Tanggal</t>
  </si>
  <si>
    <t>PT ENERGI BATUBARA LESTARI
RENCANA ANGGARAN BULANAN (RAB)
Departemen HCGA</t>
  </si>
  <si>
    <t>Keperluan ATK W1 Oktober 2026</t>
  </si>
  <si>
    <t>Keperluan ATK W2 Oktober 2026</t>
  </si>
  <si>
    <t>Keperluan ATK W3 Oktober 2026</t>
  </si>
  <si>
    <t>Keperluan ATK W4 Oktober 2026</t>
  </si>
  <si>
    <t>Keperluan Air PDAM</t>
  </si>
  <si>
    <t>Keperluan Telp &amp; Internet</t>
  </si>
  <si>
    <t>Keperluan Pengajian</t>
  </si>
  <si>
    <t>Keperluan ….....</t>
  </si>
  <si>
    <t>Keperluan BBM W1 Oktober 2026</t>
  </si>
  <si>
    <t>Keperluan BBM W2 Oktober 2026</t>
  </si>
  <si>
    <t>Keperluan BBM W3 Oktober 2026</t>
  </si>
  <si>
    <t>Keperluan BBM W4 Oktober 2026</t>
  </si>
  <si>
    <t>Keperluan Catering W1 Oktober 2026</t>
  </si>
  <si>
    <t>Keperluan Catering W2 Oktober 2026</t>
  </si>
  <si>
    <t>Keperluan Catering W3 Oktober 2026</t>
  </si>
  <si>
    <t>Keperluan Catering W4 Oktober 2026</t>
  </si>
  <si>
    <t>Lumpsum Cuti Periodik Karyawan</t>
  </si>
  <si>
    <t>orang</t>
  </si>
  <si>
    <t>Perjalanan Dinas Karyawan</t>
  </si>
  <si>
    <t>Keperluan HCGS W1 Oktober 2026</t>
  </si>
  <si>
    <t>Keperluan HCGS W2 Oktober 2026</t>
  </si>
  <si>
    <t>Keperluan HCGS W3 Oktober 2026</t>
  </si>
  <si>
    <t>Keperluan HCGS W4 Oktober 2026</t>
  </si>
  <si>
    <t>Keperluan Listrik PLN W1 Oktober 2026</t>
  </si>
  <si>
    <t>Keperluan Listrik PLN W2 Oktober 2026</t>
  </si>
  <si>
    <t>Keperluan Listrik PLN W3 Oktober 2026</t>
  </si>
  <si>
    <t>Keperluan Listrik PLN W4 Oktober 2026</t>
  </si>
  <si>
    <t>Listrik Stockpile EBL</t>
  </si>
  <si>
    <t>Listrik Mess Kupang</t>
  </si>
  <si>
    <t>Listrik Gudang Handak EBL</t>
  </si>
  <si>
    <t>Listrik Office 42</t>
  </si>
  <si>
    <t>Listrik Kantor &amp; Mess EBL</t>
  </si>
  <si>
    <t>Keperluan Pantry W1 Oktober 2026</t>
  </si>
  <si>
    <t>Keperluan Pantry W2 Oktober 2026</t>
  </si>
  <si>
    <t>Keperluan Pantry W3 Oktober 2026</t>
  </si>
  <si>
    <t>Keperluan Pantry W4 Oktober 2026</t>
  </si>
  <si>
    <t>Air Galon</t>
  </si>
  <si>
    <t>Galon</t>
  </si>
  <si>
    <t>galon</t>
  </si>
  <si>
    <t>Halaman :        1/1</t>
  </si>
  <si>
    <t>Air PDAM Stockpile EBL</t>
  </si>
  <si>
    <t>Air PDAM Mess Kupang</t>
  </si>
  <si>
    <t>Air PDAM Gudang Handak EBL</t>
  </si>
  <si>
    <t>Air PDAM Office 42</t>
  </si>
  <si>
    <t>Air PDAM Kantor &amp; Mess EBL</t>
  </si>
  <si>
    <t>Keperluan Air PDAM PLN W1 Oktober 2026</t>
  </si>
  <si>
    <t>Keperluan Air PDAM PLN W2 Oktober 2026</t>
  </si>
  <si>
    <t>Keperluan Air PDAM PLN W3 Oktober 2026</t>
  </si>
  <si>
    <t>Keperluan Air PDAM PLN W4 Oktober 2026</t>
  </si>
  <si>
    <t>Gas LPG</t>
  </si>
  <si>
    <t>tabung</t>
  </si>
  <si>
    <t>Disetujui Oleh,</t>
  </si>
  <si>
    <t>Operation &amp; HCA Director</t>
  </si>
  <si>
    <t>Rahmad Pudjotomo</t>
  </si>
  <si>
    <t>Tanggal :</t>
  </si>
  <si>
    <t>Keperluan KHL W1 Oktober 2026</t>
  </si>
  <si>
    <t>Keperluan KHL W2 Oktober 2026</t>
  </si>
  <si>
    <t>Keperluan KHL W3 Oktober 2026</t>
  </si>
  <si>
    <t>Keperluan KHL W4 Oktober 2026</t>
  </si>
  <si>
    <t>Keperluan Telp &amp; Internet W1 Oktober 2026</t>
  </si>
  <si>
    <t>Keperluan Telp &amp; Internet W2 Oktober 2026</t>
  </si>
  <si>
    <t>Keperluan Telp &amp; Internet W3 Oktober 2026</t>
  </si>
  <si>
    <t>Keperluan Telp &amp; Internet W4 Oktober 2026</t>
  </si>
  <si>
    <t>WBS Element</t>
  </si>
  <si>
    <t>Description</t>
  </si>
  <si>
    <t>AB3.11-06.02.15.04</t>
  </si>
  <si>
    <t>CSR/Divisi/Operational Expense</t>
  </si>
  <si>
    <t>AB3.11-06.02.15.02</t>
  </si>
  <si>
    <t>CSR/Divisi/Perjalanan Dinas</t>
  </si>
  <si>
    <t>AB3.11-06.02.15.01</t>
  </si>
  <si>
    <t>CSR/Divisi/Training</t>
  </si>
  <si>
    <t>AB3.11-06.02.12.04</t>
  </si>
  <si>
    <t>Gudang Handak/Divisi/Operational Expense</t>
  </si>
  <si>
    <t>AB3.11-06.02.12.02</t>
  </si>
  <si>
    <t>Gudang Handak/Divisi/Perjalanan Dinas</t>
  </si>
  <si>
    <t>AB3.11-06.02.12.01</t>
  </si>
  <si>
    <t>Gudang Handak/Divisi/Training</t>
  </si>
  <si>
    <t>AB3.11-06.02.10.04</t>
  </si>
  <si>
    <t>HRGS Site/Divisi/Operational Expense</t>
  </si>
  <si>
    <t>AB3.11-06.02.10.02</t>
  </si>
  <si>
    <t>HRGS Site/Divisi/Perjalanan Dinas</t>
  </si>
  <si>
    <t>AB3.11-06.02.10.01</t>
  </si>
  <si>
    <t>HRGS Site/Divisi/Training</t>
  </si>
  <si>
    <t>AB3.11-06.02.11.03</t>
  </si>
  <si>
    <t>Operation/Divisi/Konsultan/Eksternal</t>
  </si>
  <si>
    <t>AB3.11-06.02.11.04</t>
  </si>
  <si>
    <t>Operation/Divisi/Operational Expense</t>
  </si>
  <si>
    <t>AB3.11-06.02.11.05</t>
  </si>
  <si>
    <t>Operation/Divisi/Perizinan</t>
  </si>
  <si>
    <t>AB3.11-06.02.11.02</t>
  </si>
  <si>
    <t>Operation/Divisi/Perjalanan Dinas</t>
  </si>
  <si>
    <t>AB3.11-06.02.11.01</t>
  </si>
  <si>
    <t>Operation/Divisi/Training</t>
  </si>
  <si>
    <t>AB3.11-06.02.09.04</t>
  </si>
  <si>
    <t>PPIC/Divisi/Operational Expense</t>
  </si>
  <si>
    <t>AB3.11-06.02.09.02</t>
  </si>
  <si>
    <t>PPIC/Divisi/Perjalanan Dinas</t>
  </si>
  <si>
    <t>AB3.11-06.02.09.01</t>
  </si>
  <si>
    <t>PPIC/Divisi/Training</t>
  </si>
  <si>
    <t>AB3.11-06.02.22.04</t>
  </si>
  <si>
    <t>Revegetasi R&amp;R/Divisi/Operational Expens</t>
  </si>
  <si>
    <t>AB3.11-06.02.22.02</t>
  </si>
  <si>
    <t>Revegetasi R&amp;R/Divisi/Perjalanan Dinas</t>
  </si>
  <si>
    <t>AB3.11-06.02.22.01</t>
  </si>
  <si>
    <t>Revegetasi R&amp;R/Divisi/Training</t>
  </si>
  <si>
    <t>AB3.11-06.02.13.03</t>
  </si>
  <si>
    <t>SHE/Divisi/Konsultan/Eksternal</t>
  </si>
  <si>
    <t>AB3.11-06.02.13.04</t>
  </si>
  <si>
    <t>SHE/Divisi/Operational Expense</t>
  </si>
  <si>
    <t>AB3.11-06.02.13.05</t>
  </si>
  <si>
    <t>SHE/Divisi/Perizinan</t>
  </si>
  <si>
    <t>AB3.11-06.02.13.02</t>
  </si>
  <si>
    <t>SHE/Divisi/Perjalanan Dinas</t>
  </si>
  <si>
    <t>AB3.11-06.02.13.01</t>
  </si>
  <si>
    <t>SHE/Divisi/Training</t>
  </si>
  <si>
    <t>Kode WBS / Cost Center</t>
  </si>
  <si>
    <t>Perdin &amp; Cuti Karyawan</t>
  </si>
  <si>
    <t>Bulan : Oktober                                          Tahun : 2026</t>
  </si>
  <si>
    <t>jika total nilai &gt;25jt (Approval s/d Pak Rahmad)</t>
  </si>
  <si>
    <t>Pembayaran Indihome PT EBL ( Mess Kantor)</t>
  </si>
  <si>
    <t>Pembayaran Indihome PT EBL ( Mess Tahura)</t>
  </si>
  <si>
    <t>Pembayaran Telkom Speedy PT EBL (Kantor)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</si>
</sst>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([$Rp-421]* #,##0_);_([$Rp-421]* \(#,##0\);_([$Rp-421]* &quot;-&quot;??_);_(@_)"/>
    <numFmt numFmtId="166" formatCode="_(* #,##0_);_(* \(#,##0\);_(* &quot;-&quot;??_);_(@_)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36"/>
      <name val="Arial"/>
      <family val="2"/>
    </font>
    <font>
      <b/>
      <sz val="8"/>
      <color theme="4" tint="-0.249977111117893"/>
      <name val="Aptos Narrow"/>
      <family val="2"/>
      <scheme val="minor"/>
    </font>
    <font>
      <sz val="10"/>
      <name val="Arial"/>
      <family val="2"/>
    </font>
    <font>
      <sz val="9"/>
      <name val="Arial"/>
      <family val="2"/>
    </font>
    <font>
      <b/>
      <sz val="10"/>
      <name val="Verdana"/>
      <family val="2"/>
    </font>
    <font>
      <b/>
      <sz val="10"/>
      <name val="Arial"/>
      <family val="2"/>
    </font>
    <font>
      <b/>
      <i/>
      <sz val="10"/>
      <name val="Verdana"/>
      <family val="2"/>
    </font>
    <font>
      <sz val="10"/>
      <name val="Verdana"/>
      <family val="2"/>
    </font>
    <font>
      <sz val="1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i/>
      <sz val="12"/>
      <name val="Aptos Narrow"/>
      <family val="2"/>
      <scheme val="minor"/>
    </font>
    <font>
      <b/>
      <sz val="14"/>
      <name val="Aptos Narrow"/>
      <family val="2"/>
      <scheme val="minor"/>
    </font>
    <font>
      <b/>
      <i/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0"/>
      <color rgb="FFFF0000"/>
      <name val="Arial"/>
      <family val="2"/>
    </font>
    <font>
      <b/>
      <sz val="16"/>
      <name val="Arial"/>
      <family val="2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b/>
      <sz val="15"/>
      <name val="Arial"/>
      <family val="2"/>
    </font>
    <font>
      <sz val="11"/>
      <color rgb="FF000000"/>
      <name val="Aptos Narrow"/>
      <family val="2"/>
      <scheme val="minor"/>
    </font>
    <font>
      <sz val="9"/>
      <color theme="1"/>
      <name val="Aptos Narrow (Body)"/>
    </font>
    <font>
      <sz val="9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7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indexed="64"/>
      </right>
      <top style="thin">
        <color theme="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indexed="64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</cellStyleXfs>
  <cellXfs count="220">
    <xf numFmtId="0" fontId="0" fillId="0" borderId="0" xfId="0"/>
    <xf numFmtId="0" fontId="3" fillId="0" borderId="1" xfId="0" applyFont="1" applyBorder="1"/>
    <xf numFmtId="0" fontId="3" fillId="0" borderId="0" xfId="0" applyFont="1"/>
    <xf numFmtId="0" fontId="3" fillId="0" borderId="5" xfId="0" applyFont="1" applyBorder="1"/>
    <xf numFmtId="0" fontId="6" fillId="0" borderId="0" xfId="0" applyFont="1"/>
    <xf numFmtId="16" fontId="6" fillId="0" borderId="0" xfId="0" quotePrefix="1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8" fillId="0" borderId="0" xfId="0" applyFont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6" fillId="0" borderId="36" xfId="0" applyFont="1" applyBorder="1" applyAlignment="1">
      <alignment horizontal="left" vertical="center"/>
    </xf>
    <xf numFmtId="164" fontId="6" fillId="0" borderId="0" xfId="1" applyFont="1" applyFill="1" applyBorder="1" applyAlignment="1">
      <alignment horizontal="left" vertical="center"/>
    </xf>
    <xf numFmtId="0" fontId="6" fillId="0" borderId="37" xfId="0" applyFont="1" applyBorder="1" applyAlignment="1">
      <alignment horizontal="center" vertical="center"/>
    </xf>
    <xf numFmtId="0" fontId="6" fillId="0" borderId="38" xfId="0" applyFont="1" applyBorder="1" applyAlignment="1">
      <alignment horizontal="left" vertical="center"/>
    </xf>
    <xf numFmtId="0" fontId="6" fillId="0" borderId="38" xfId="0" applyFont="1" applyBorder="1" applyAlignment="1">
      <alignment vertical="center"/>
    </xf>
    <xf numFmtId="0" fontId="6" fillId="0" borderId="39" xfId="0" applyFont="1" applyBorder="1" applyAlignment="1">
      <alignment horizontal="left" vertical="center"/>
    </xf>
    <xf numFmtId="0" fontId="6" fillId="0" borderId="39" xfId="0" quotePrefix="1" applyFont="1" applyBorder="1" applyAlignment="1">
      <alignment horizontal="left" vertical="center"/>
    </xf>
    <xf numFmtId="0" fontId="6" fillId="0" borderId="39" xfId="0" applyFont="1" applyBorder="1" applyAlignment="1">
      <alignment horizontal="left" vertical="center" wrapText="1"/>
    </xf>
    <xf numFmtId="164" fontId="11" fillId="0" borderId="0" xfId="1" applyFont="1" applyFill="1" applyBorder="1" applyAlignment="1">
      <alignment horizontal="center" vertical="center"/>
    </xf>
    <xf numFmtId="0" fontId="12" fillId="0" borderId="0" xfId="2" applyFont="1"/>
    <xf numFmtId="0" fontId="12" fillId="0" borderId="47" xfId="2" applyFont="1" applyBorder="1" applyAlignment="1">
      <alignment horizontal="center" vertical="center"/>
    </xf>
    <xf numFmtId="0" fontId="12" fillId="0" borderId="48" xfId="2" applyFont="1" applyBorder="1"/>
    <xf numFmtId="0" fontId="12" fillId="0" borderId="48" xfId="2" applyFont="1" applyBorder="1" applyAlignment="1">
      <alignment horizontal="center"/>
    </xf>
    <xf numFmtId="166" fontId="12" fillId="0" borderId="48" xfId="3" applyNumberFormat="1" applyFont="1" applyBorder="1"/>
    <xf numFmtId="3" fontId="1" fillId="0" borderId="49" xfId="2" applyNumberFormat="1" applyFont="1" applyBorder="1" applyAlignment="1">
      <alignment vertical="center"/>
    </xf>
    <xf numFmtId="3" fontId="12" fillId="0" borderId="0" xfId="2" applyNumberFormat="1" applyFont="1"/>
    <xf numFmtId="0" fontId="14" fillId="0" borderId="48" xfId="2" applyFont="1" applyBorder="1" applyAlignment="1">
      <alignment horizontal="left"/>
    </xf>
    <xf numFmtId="166" fontId="14" fillId="0" borderId="48" xfId="3" applyNumberFormat="1" applyFont="1" applyFill="1" applyBorder="1"/>
    <xf numFmtId="0" fontId="12" fillId="0" borderId="48" xfId="2" applyFont="1" applyBorder="1" applyAlignment="1">
      <alignment horizontal="left"/>
    </xf>
    <xf numFmtId="0" fontId="14" fillId="0" borderId="50" xfId="2" applyFont="1" applyBorder="1" applyAlignment="1">
      <alignment horizontal="left"/>
    </xf>
    <xf numFmtId="0" fontId="12" fillId="0" borderId="50" xfId="2" applyFont="1" applyBorder="1" applyAlignment="1">
      <alignment horizontal="center"/>
    </xf>
    <xf numFmtId="166" fontId="14" fillId="0" borderId="50" xfId="3" applyNumberFormat="1" applyFont="1" applyFill="1" applyBorder="1"/>
    <xf numFmtId="3" fontId="1" fillId="0" borderId="51" xfId="2" applyNumberFormat="1" applyFont="1" applyBorder="1" applyAlignment="1">
      <alignment vertical="center"/>
    </xf>
    <xf numFmtId="0" fontId="12" fillId="0" borderId="31" xfId="2" applyFont="1" applyBorder="1" applyAlignment="1">
      <alignment horizontal="center" vertical="center"/>
    </xf>
    <xf numFmtId="0" fontId="14" fillId="0" borderId="32" xfId="2" applyFont="1" applyBorder="1" applyAlignment="1">
      <alignment horizontal="left"/>
    </xf>
    <xf numFmtId="0" fontId="12" fillId="0" borderId="32" xfId="2" applyFont="1" applyBorder="1" applyAlignment="1">
      <alignment horizontal="center"/>
    </xf>
    <xf numFmtId="0" fontId="12" fillId="0" borderId="32" xfId="2" applyFont="1" applyBorder="1" applyAlignment="1">
      <alignment horizontal="left"/>
    </xf>
    <xf numFmtId="166" fontId="14" fillId="0" borderId="32" xfId="3" applyNumberFormat="1" applyFont="1" applyFill="1" applyBorder="1"/>
    <xf numFmtId="3" fontId="1" fillId="0" borderId="34" xfId="2" applyNumberFormat="1" applyFont="1" applyBorder="1" applyAlignment="1">
      <alignment vertical="center"/>
    </xf>
    <xf numFmtId="3" fontId="13" fillId="0" borderId="52" xfId="2" applyNumberFormat="1" applyFont="1" applyBorder="1" applyAlignment="1">
      <alignment vertical="center"/>
    </xf>
    <xf numFmtId="166" fontId="12" fillId="0" borderId="0" xfId="3" applyNumberFormat="1" applyFont="1"/>
    <xf numFmtId="164" fontId="12" fillId="0" borderId="0" xfId="3" applyFont="1" applyBorder="1" applyAlignment="1">
      <alignment horizontal="center"/>
    </xf>
    <xf numFmtId="164" fontId="12" fillId="0" borderId="0" xfId="3" applyFont="1" applyBorder="1"/>
    <xf numFmtId="0" fontId="2" fillId="0" borderId="0" xfId="2" applyFont="1" applyAlignment="1">
      <alignment horizont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/>
    </xf>
    <xf numFmtId="0" fontId="12" fillId="0" borderId="0" xfId="2" applyFont="1" applyAlignment="1">
      <alignment horizontal="left"/>
    </xf>
    <xf numFmtId="166" fontId="12" fillId="0" borderId="0" xfId="3" applyNumberFormat="1" applyFont="1" applyBorder="1"/>
    <xf numFmtId="3" fontId="2" fillId="0" borderId="0" xfId="2" applyNumberFormat="1" applyFont="1" applyAlignment="1">
      <alignment vertical="center"/>
    </xf>
    <xf numFmtId="3" fontId="16" fillId="2" borderId="52" xfId="2" applyNumberFormat="1" applyFont="1" applyFill="1" applyBorder="1" applyAlignment="1">
      <alignment vertical="center"/>
    </xf>
    <xf numFmtId="0" fontId="14" fillId="0" borderId="0" xfId="2" applyFont="1" applyAlignment="1">
      <alignment horizontal="left"/>
    </xf>
    <xf numFmtId="166" fontId="12" fillId="0" borderId="0" xfId="3" applyNumberFormat="1" applyFont="1" applyBorder="1" applyAlignment="1">
      <alignment horizontal="center"/>
    </xf>
    <xf numFmtId="166" fontId="14" fillId="0" borderId="0" xfId="3" applyNumberFormat="1" applyFont="1" applyFill="1" applyBorder="1"/>
    <xf numFmtId="0" fontId="14" fillId="0" borderId="0" xfId="2" applyFont="1" applyAlignment="1">
      <alignment horizontal="center"/>
    </xf>
    <xf numFmtId="0" fontId="18" fillId="0" borderId="0" xfId="2" applyFont="1"/>
    <xf numFmtId="3" fontId="18" fillId="0" borderId="0" xfId="2" applyNumberFormat="1" applyFont="1"/>
    <xf numFmtId="0" fontId="2" fillId="0" borderId="48" xfId="0" applyFont="1" applyBorder="1" applyAlignment="1">
      <alignment horizontal="center"/>
    </xf>
    <xf numFmtId="0" fontId="2" fillId="0" borderId="50" xfId="0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48" xfId="0" applyFont="1" applyBorder="1"/>
    <xf numFmtId="0" fontId="1" fillId="0" borderId="48" xfId="0" applyFont="1" applyBorder="1" applyAlignment="1">
      <alignment horizontal="center"/>
    </xf>
    <xf numFmtId="166" fontId="1" fillId="0" borderId="48" xfId="3" applyNumberFormat="1" applyFont="1" applyBorder="1"/>
    <xf numFmtId="166" fontId="1" fillId="0" borderId="48" xfId="3" applyNumberFormat="1" applyFont="1" applyFill="1" applyBorder="1"/>
    <xf numFmtId="166" fontId="1" fillId="0" borderId="48" xfId="0" applyNumberFormat="1" applyFont="1" applyBorder="1"/>
    <xf numFmtId="0" fontId="12" fillId="0" borderId="48" xfId="0" applyFont="1" applyBorder="1"/>
    <xf numFmtId="166" fontId="2" fillId="0" borderId="50" xfId="0" applyNumberFormat="1" applyFont="1" applyBorder="1" applyAlignment="1">
      <alignment horizontal="center"/>
    </xf>
    <xf numFmtId="166" fontId="2" fillId="0" borderId="50" xfId="0" applyNumberFormat="1" applyFont="1" applyBorder="1"/>
    <xf numFmtId="0" fontId="14" fillId="0" borderId="48" xfId="2" applyFont="1" applyBorder="1" applyAlignment="1">
      <alignment horizontal="center"/>
    </xf>
    <xf numFmtId="0" fontId="14" fillId="0" borderId="50" xfId="2" applyFont="1" applyBorder="1" applyAlignment="1">
      <alignment horizontal="center"/>
    </xf>
    <xf numFmtId="166" fontId="3" fillId="0" borderId="48" xfId="3" applyNumberFormat="1" applyFont="1" applyBorder="1"/>
    <xf numFmtId="0" fontId="0" fillId="0" borderId="48" xfId="0" applyBorder="1"/>
    <xf numFmtId="0" fontId="0" fillId="0" borderId="57" xfId="0" applyBorder="1"/>
    <xf numFmtId="0" fontId="1" fillId="0" borderId="56" xfId="0" applyFont="1" applyBorder="1"/>
    <xf numFmtId="0" fontId="1" fillId="0" borderId="57" xfId="0" applyFont="1" applyBorder="1"/>
    <xf numFmtId="0" fontId="1" fillId="0" borderId="58" xfId="0" applyFont="1" applyBorder="1"/>
    <xf numFmtId="0" fontId="1" fillId="0" borderId="50" xfId="0" applyFont="1" applyBorder="1"/>
    <xf numFmtId="166" fontId="12" fillId="0" borderId="0" xfId="1" applyNumberFormat="1" applyFont="1"/>
    <xf numFmtId="166" fontId="12" fillId="0" borderId="0" xfId="2" applyNumberFormat="1" applyFont="1"/>
    <xf numFmtId="0" fontId="20" fillId="0" borderId="28" xfId="0" applyFont="1" applyBorder="1" applyAlignment="1">
      <alignment horizontal="left" vertical="center"/>
    </xf>
    <xf numFmtId="0" fontId="20" fillId="0" borderId="28" xfId="0" applyFont="1" applyBorder="1" applyAlignment="1">
      <alignment horizontal="center" vertical="center"/>
    </xf>
    <xf numFmtId="166" fontId="20" fillId="0" borderId="28" xfId="3" applyNumberFormat="1" applyFont="1" applyBorder="1" applyAlignment="1">
      <alignment horizontal="center" vertical="center"/>
    </xf>
    <xf numFmtId="0" fontId="20" fillId="0" borderId="48" xfId="0" applyFont="1" applyBorder="1" applyAlignment="1">
      <alignment horizontal="center" vertical="center"/>
    </xf>
    <xf numFmtId="166" fontId="20" fillId="0" borderId="48" xfId="3" applyNumberFormat="1" applyFont="1" applyBorder="1" applyAlignment="1">
      <alignment horizontal="center" vertical="center"/>
    </xf>
    <xf numFmtId="0" fontId="21" fillId="0" borderId="48" xfId="0" applyFont="1" applyBorder="1"/>
    <xf numFmtId="0" fontId="20" fillId="0" borderId="48" xfId="2" applyFont="1" applyBorder="1" applyAlignment="1">
      <alignment horizontal="left"/>
    </xf>
    <xf numFmtId="0" fontId="21" fillId="0" borderId="48" xfId="2" applyFont="1" applyBorder="1" applyAlignment="1">
      <alignment horizontal="center"/>
    </xf>
    <xf numFmtId="166" fontId="20" fillId="0" borderId="48" xfId="3" applyNumberFormat="1" applyFont="1" applyFill="1" applyBorder="1"/>
    <xf numFmtId="0" fontId="6" fillId="0" borderId="2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9" xfId="0" applyFont="1" applyBorder="1"/>
    <xf numFmtId="165" fontId="6" fillId="0" borderId="36" xfId="0" applyNumberFormat="1" applyFont="1" applyBorder="1" applyAlignment="1">
      <alignment vertical="center"/>
    </xf>
    <xf numFmtId="165" fontId="6" fillId="0" borderId="38" xfId="0" applyNumberFormat="1" applyFont="1" applyBorder="1" applyAlignment="1">
      <alignment vertical="center"/>
    </xf>
    <xf numFmtId="165" fontId="6" fillId="0" borderId="38" xfId="1" applyNumberFormat="1" applyFont="1" applyFill="1" applyBorder="1" applyAlignment="1">
      <alignment vertical="center"/>
    </xf>
    <xf numFmtId="165" fontId="6" fillId="0" borderId="39" xfId="0" applyNumberFormat="1" applyFont="1" applyBorder="1" applyAlignment="1">
      <alignment vertical="center"/>
    </xf>
    <xf numFmtId="0" fontId="6" fillId="0" borderId="1" xfId="0" applyFont="1" applyBorder="1"/>
    <xf numFmtId="0" fontId="6" fillId="0" borderId="2" xfId="0" applyFont="1" applyBorder="1"/>
    <xf numFmtId="0" fontId="6" fillId="0" borderId="21" xfId="0" applyFont="1" applyBorder="1"/>
    <xf numFmtId="0" fontId="6" fillId="0" borderId="22" xfId="0" applyFont="1" applyBorder="1"/>
    <xf numFmtId="0" fontId="6" fillId="0" borderId="23" xfId="0" applyFont="1" applyBorder="1" applyAlignment="1">
      <alignment vertical="center"/>
    </xf>
    <xf numFmtId="0" fontId="6" fillId="0" borderId="57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5" xfId="0" applyFont="1" applyBorder="1"/>
    <xf numFmtId="0" fontId="6" fillId="0" borderId="8" xfId="0" applyFont="1" applyBorder="1"/>
    <xf numFmtId="0" fontId="4" fillId="0" borderId="0" xfId="0" applyFont="1" applyAlignment="1">
      <alignment vertical="center"/>
    </xf>
    <xf numFmtId="0" fontId="23" fillId="0" borderId="2" xfId="0" applyFont="1" applyBorder="1" applyAlignment="1">
      <alignment vertical="center" wrapText="1"/>
    </xf>
    <xf numFmtId="0" fontId="3" fillId="0" borderId="3" xfId="0" applyFont="1" applyBorder="1"/>
    <xf numFmtId="0" fontId="3" fillId="0" borderId="6" xfId="0" applyFont="1" applyBorder="1"/>
    <xf numFmtId="0" fontId="3" fillId="0" borderId="10" xfId="0" applyFont="1" applyBorder="1"/>
    <xf numFmtId="0" fontId="6" fillId="0" borderId="3" xfId="0" applyFont="1" applyBorder="1" applyAlignment="1">
      <alignment horizontal="center"/>
    </xf>
    <xf numFmtId="0" fontId="6" fillId="0" borderId="10" xfId="0" applyFont="1" applyBorder="1" applyAlignment="1">
      <alignment horizontal="left"/>
    </xf>
    <xf numFmtId="0" fontId="6" fillId="0" borderId="64" xfId="0" applyFont="1" applyBorder="1"/>
    <xf numFmtId="0" fontId="6" fillId="0" borderId="65" xfId="0" applyFont="1" applyBorder="1"/>
    <xf numFmtId="0" fontId="6" fillId="0" borderId="68" xfId="0" applyFont="1" applyBorder="1"/>
    <xf numFmtId="0" fontId="6" fillId="0" borderId="69" xfId="0" applyFont="1" applyBorder="1"/>
    <xf numFmtId="165" fontId="9" fillId="0" borderId="4" xfId="1" applyNumberFormat="1" applyFont="1" applyFill="1" applyBorder="1" applyAlignment="1">
      <alignment vertical="center"/>
    </xf>
    <xf numFmtId="165" fontId="9" fillId="0" borderId="7" xfId="1" applyNumberFormat="1" applyFont="1" applyFill="1" applyBorder="1" applyAlignment="1">
      <alignment vertical="center"/>
    </xf>
    <xf numFmtId="0" fontId="27" fillId="0" borderId="0" xfId="0" applyFont="1" applyAlignment="1">
      <alignment horizontal="center" vertical="center"/>
    </xf>
    <xf numFmtId="0" fontId="28" fillId="0" borderId="48" xfId="0" applyFont="1" applyBorder="1" applyAlignment="1">
      <alignment horizontal="center"/>
    </xf>
    <xf numFmtId="0" fontId="29" fillId="0" borderId="54" xfId="0" applyFont="1" applyBorder="1"/>
    <xf numFmtId="0" fontId="29" fillId="0" borderId="72" xfId="0" applyFont="1" applyBorder="1" applyAlignment="1">
      <alignment horizontal="center"/>
    </xf>
    <xf numFmtId="0" fontId="29" fillId="0" borderId="48" xfId="0" applyFont="1" applyBorder="1"/>
    <xf numFmtId="0" fontId="28" fillId="0" borderId="50" xfId="0" applyFont="1" applyBorder="1" applyAlignment="1">
      <alignment horizontal="center"/>
    </xf>
    <xf numFmtId="0" fontId="0" fillId="3" borderId="0" xfId="0" applyFill="1"/>
    <xf numFmtId="0" fontId="0" fillId="4" borderId="48" xfId="0" applyFill="1" applyBorder="1" applyAlignment="1">
      <alignment horizontal="center"/>
    </xf>
    <xf numFmtId="0" fontId="8" fillId="0" borderId="30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165" fontId="10" fillId="0" borderId="70" xfId="0" applyNumberFormat="1" applyFont="1" applyBorder="1" applyAlignment="1">
      <alignment horizontal="center" vertical="center" wrapText="1"/>
    </xf>
    <xf numFmtId="0" fontId="9" fillId="0" borderId="71" xfId="0" applyFont="1" applyBorder="1" applyAlignment="1">
      <alignment horizontal="center" vertical="center" wrapText="1"/>
    </xf>
    <xf numFmtId="0" fontId="8" fillId="0" borderId="40" xfId="0" applyFont="1" applyBorder="1" applyAlignment="1">
      <alignment horizontal="center" vertical="center"/>
    </xf>
    <xf numFmtId="0" fontId="8" fillId="0" borderId="41" xfId="0" applyFont="1" applyBorder="1" applyAlignment="1">
      <alignment horizontal="center" vertical="center"/>
    </xf>
    <xf numFmtId="0" fontId="8" fillId="0" borderId="42" xfId="0" applyFont="1" applyBorder="1" applyAlignment="1">
      <alignment horizontal="center" vertical="center"/>
    </xf>
    <xf numFmtId="0" fontId="8" fillId="0" borderId="43" xfId="0" applyFont="1" applyBorder="1" applyAlignment="1">
      <alignment horizontal="center" vertical="center"/>
    </xf>
    <xf numFmtId="165" fontId="10" fillId="0" borderId="41" xfId="0" applyNumberFormat="1" applyFont="1" applyBorder="1" applyAlignment="1">
      <alignment horizontal="center" vertical="center" wrapText="1"/>
    </xf>
    <xf numFmtId="0" fontId="9" fillId="0" borderId="43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left"/>
    </xf>
    <xf numFmtId="0" fontId="6" fillId="0" borderId="25" xfId="0" applyFont="1" applyBorder="1" applyAlignment="1">
      <alignment horizontal="left"/>
    </xf>
    <xf numFmtId="0" fontId="6" fillId="0" borderId="24" xfId="0" applyFont="1" applyBorder="1" applyAlignment="1">
      <alignment horizontal="left"/>
    </xf>
    <xf numFmtId="0" fontId="8" fillId="0" borderId="27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/>
    </xf>
    <xf numFmtId="0" fontId="8" fillId="0" borderId="33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66" xfId="0" applyFont="1" applyBorder="1" applyAlignment="1">
      <alignment horizontal="left" vertical="center"/>
    </xf>
    <xf numFmtId="0" fontId="7" fillId="0" borderId="67" xfId="0" applyFont="1" applyBorder="1" applyAlignment="1">
      <alignment horizontal="left" vertical="center"/>
    </xf>
    <xf numFmtId="0" fontId="6" fillId="0" borderId="6" xfId="0" applyFont="1" applyBorder="1" applyAlignment="1">
      <alignment horizontal="center"/>
    </xf>
    <xf numFmtId="0" fontId="7" fillId="0" borderId="73" xfId="0" applyFont="1" applyBorder="1" applyAlignment="1">
      <alignment horizontal="left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62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6" fillId="0" borderId="63" xfId="0" applyFont="1" applyBorder="1" applyAlignment="1">
      <alignment horizontal="left" vertical="center"/>
    </xf>
    <xf numFmtId="0" fontId="6" fillId="0" borderId="12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6" fillId="0" borderId="20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9" xfId="0" applyFont="1" applyBorder="1" applyAlignment="1">
      <alignment horizontal="left" vertical="center"/>
    </xf>
    <xf numFmtId="0" fontId="6" fillId="0" borderId="14" xfId="0" applyFont="1" applyBorder="1" applyAlignment="1">
      <alignment horizontal="left" vertical="center"/>
    </xf>
    <xf numFmtId="0" fontId="6" fillId="0" borderId="25" xfId="0" applyFont="1" applyBorder="1" applyAlignment="1">
      <alignment horizontal="left" vertical="center"/>
    </xf>
    <xf numFmtId="0" fontId="6" fillId="0" borderId="2" xfId="0" applyFont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2" fillId="0" borderId="0" xfId="2" applyFont="1" applyAlignment="1">
      <alignment horizontal="center" vertical="center"/>
    </xf>
    <xf numFmtId="0" fontId="17" fillId="0" borderId="0" xfId="2" applyFont="1" applyAlignment="1">
      <alignment horizontal="right" vertical="center" wrapText="1" indent="1"/>
    </xf>
    <xf numFmtId="0" fontId="16" fillId="2" borderId="44" xfId="2" applyFont="1" applyFill="1" applyBorder="1" applyAlignment="1">
      <alignment horizontal="center" vertical="center"/>
    </xf>
    <xf numFmtId="0" fontId="16" fillId="2" borderId="45" xfId="2" applyFont="1" applyFill="1" applyBorder="1" applyAlignment="1">
      <alignment horizontal="center" vertical="center"/>
    </xf>
    <xf numFmtId="0" fontId="16" fillId="2" borderId="46" xfId="2" applyFont="1" applyFill="1" applyBorder="1" applyAlignment="1">
      <alignment horizontal="center" vertical="center"/>
    </xf>
    <xf numFmtId="0" fontId="2" fillId="0" borderId="0" xfId="2" applyFont="1" applyAlignment="1">
      <alignment horizontal="left"/>
    </xf>
    <xf numFmtId="0" fontId="15" fillId="0" borderId="44" xfId="2" applyFont="1" applyBorder="1" applyAlignment="1">
      <alignment horizontal="center" vertical="center" wrapText="1"/>
    </xf>
    <xf numFmtId="0" fontId="15" fillId="0" borderId="45" xfId="2" applyFont="1" applyBorder="1" applyAlignment="1">
      <alignment horizontal="center" vertical="center" wrapText="1"/>
    </xf>
    <xf numFmtId="0" fontId="13" fillId="0" borderId="44" xfId="2" applyFont="1" applyBorder="1" applyAlignment="1">
      <alignment horizontal="center" vertical="center"/>
    </xf>
    <xf numFmtId="0" fontId="13" fillId="0" borderId="45" xfId="2" applyFont="1" applyBorder="1" applyAlignment="1">
      <alignment horizontal="center" vertical="center"/>
    </xf>
    <xf numFmtId="0" fontId="13" fillId="0" borderId="46" xfId="2" applyFont="1" applyBorder="1" applyAlignment="1">
      <alignment horizontal="center" vertical="center"/>
    </xf>
    <xf numFmtId="0" fontId="2" fillId="0" borderId="27" xfId="2" applyFont="1" applyBorder="1" applyAlignment="1">
      <alignment horizontal="center" vertical="center"/>
    </xf>
    <xf numFmtId="0" fontId="2" fillId="0" borderId="31" xfId="2" applyFont="1" applyBorder="1" applyAlignment="1">
      <alignment horizontal="center" vertical="center"/>
    </xf>
    <xf numFmtId="0" fontId="2" fillId="0" borderId="28" xfId="2" applyFont="1" applyBorder="1" applyAlignment="1">
      <alignment horizontal="center" vertical="center"/>
    </xf>
    <xf numFmtId="0" fontId="2" fillId="0" borderId="32" xfId="2" applyFont="1" applyBorder="1" applyAlignment="1">
      <alignment horizontal="center" vertical="center"/>
    </xf>
    <xf numFmtId="0" fontId="2" fillId="0" borderId="30" xfId="2" applyFont="1" applyBorder="1" applyAlignment="1">
      <alignment horizontal="center" vertical="center"/>
    </xf>
    <xf numFmtId="0" fontId="2" fillId="0" borderId="34" xfId="2" applyFont="1" applyBorder="1" applyAlignment="1">
      <alignment horizontal="center" vertical="center"/>
    </xf>
    <xf numFmtId="0" fontId="24" fillId="0" borderId="0" xfId="2" applyFont="1" applyAlignment="1">
      <alignment horizontal="center" vertical="center" wrapText="1"/>
    </xf>
    <xf numFmtId="0" fontId="25" fillId="0" borderId="0" xfId="2" applyFont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" fillId="0" borderId="56" xfId="0" applyFont="1" applyBorder="1" applyAlignment="1">
      <alignment horizontal="center"/>
    </xf>
    <xf numFmtId="0" fontId="2" fillId="0" borderId="57" xfId="0" applyFont="1" applyBorder="1" applyAlignment="1">
      <alignment horizontal="center"/>
    </xf>
    <xf numFmtId="0" fontId="2" fillId="0" borderId="58" xfId="0" applyFont="1" applyBorder="1" applyAlignment="1">
      <alignment horizontal="center"/>
    </xf>
    <xf numFmtId="0" fontId="19" fillId="0" borderId="59" xfId="0" applyFont="1" applyBorder="1" applyAlignment="1">
      <alignment horizontal="center" vertical="center"/>
    </xf>
    <xf numFmtId="0" fontId="19" fillId="0" borderId="60" xfId="0" applyFont="1" applyBorder="1" applyAlignment="1">
      <alignment horizontal="center" vertical="center"/>
    </xf>
    <xf numFmtId="0" fontId="19" fillId="0" borderId="61" xfId="0" applyFont="1" applyBorder="1" applyAlignment="1">
      <alignment horizontal="center" vertical="center"/>
    </xf>
    <xf numFmtId="166" fontId="19" fillId="0" borderId="44" xfId="0" applyNumberFormat="1" applyFont="1" applyBorder="1" applyAlignment="1">
      <alignment horizontal="center" vertical="center"/>
    </xf>
    <xf numFmtId="166" fontId="19" fillId="0" borderId="45" xfId="0" applyNumberFormat="1" applyFont="1" applyBorder="1" applyAlignment="1">
      <alignment horizontal="center" vertical="center"/>
    </xf>
    <xf numFmtId="166" fontId="19" fillId="0" borderId="46" xfId="0" applyNumberFormat="1" applyFont="1" applyBorder="1" applyAlignment="1">
      <alignment horizontal="center" vertical="center"/>
    </xf>
    <xf numFmtId="0" fontId="2" fillId="0" borderId="53" xfId="2" applyFont="1" applyBorder="1" applyAlignment="1">
      <alignment horizontal="center" vertical="center"/>
    </xf>
    <xf numFmtId="0" fontId="2" fillId="0" borderId="54" xfId="2" applyFont="1" applyBorder="1" applyAlignment="1">
      <alignment horizontal="center" vertical="center"/>
    </xf>
    <xf numFmtId="0" fontId="2" fillId="0" borderId="55" xfId="2" applyFont="1" applyBorder="1" applyAlignment="1">
      <alignment horizontal="center" vertical="center"/>
    </xf>
    <xf numFmtId="0" fontId="13" fillId="0" borderId="44" xfId="2" applyFont="1" applyBorder="1" applyAlignment="1">
      <alignment horizontal="center" vertical="center" wrapText="1"/>
    </xf>
    <xf numFmtId="0" fontId="22" fillId="0" borderId="16" xfId="0" applyFont="1" applyBorder="1" applyAlignment="1">
      <alignment horizontal="center"/>
    </xf>
    <xf numFmtId="0" fontId="22" fillId="0" borderId="17" xfId="0" applyFont="1" applyBorder="1" applyAlignment="1">
      <alignment horizontal="center"/>
    </xf>
    <xf numFmtId="0" fontId="22" fillId="0" borderId="15" xfId="0" applyFont="1" applyBorder="1" applyAlignment="1">
      <alignment horizontal="center"/>
    </xf>
    <xf numFmtId="0" fontId="6" fillId="0" borderId="38" xfId="0" applyFont="1" applyBorder="1" applyAlignment="1">
      <alignment horizontal="left" vertical="center" wrapText="1"/>
    </xf>
    <xf numFmtId="0" fontId="6" fillId="0" borderId="36" xfId="0" applyFont="1" applyBorder="1" applyAlignment="1">
      <alignment horizontal="left" vertical="center" wrapText="1"/>
    </xf>
    <xf applyBorder="1" numFmtId="0" fontId="6" fillId="0" borderId="73" xfId="0" applyFont="1" applyAlignment="1">
      <alignment horizontal="center"/>
    </xf>
    <xf applyBorder="1" numFmtId="0" fontId="6" fillId="0" borderId="74" xfId="0" applyFont="1" applyAlignment="1">
      <alignment horizontal="center"/>
    </xf>
    <xf numFmtId="0" fontId="6" fillId="0" borderId="75" xfId="0" applyFont="1" applyBorder="1" applyAlignment="1">
      <alignment horizontal="left"/>
    </xf>
    <xf numFmtId="0" fontId="6" fillId="0" borderId="76" xfId="0" applyFont="1" applyBorder="1" applyAlignment="1">
      <alignment horizontal="left"/>
    </xf>
  </cellXfs>
  <cellStyles count="4">
    <cellStyle name="Comma" xfId="1" builtinId="3"/>
    <cellStyle name="Comma 2" xfId="3" xr:uid="{DCF73D0C-DC4E-43D1-A15A-3766A5C728D5}"/>
    <cellStyle name="Normal" xfId="0" builtinId="0"/>
    <cellStyle name="Normal 2" xfId="2" xr:uid="{1E13BBE9-E98E-4983-B1B6-45976AA3519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5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14" Type="http://schemas.openxmlformats.org/officeDocument/2006/relationships/styles" Target="styles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147864</xdr:colOff>
      <xdr:row>1</xdr:row>
      <xdr:rowOff>48624</xdr:rowOff>
    </xdr:from>
    <xdr:to>
      <xdr:col>2</xdr:col>
      <xdr:colOff>709439</xdr:colOff>
      <xdr:row>4</xdr:row>
      <xdr:rowOff>52635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7336C2B-8FAD-E53E-00A0-F2F86B0F8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2221" y="239124"/>
          <a:ext cx="561575" cy="548297"/>
        </a:xfrm>
        <a:prstGeom prst="rect">
          <a:avLst/>
        </a:prstGeom>
      </xdr:spPr>
    </xdr:pic>
    <xdr:clientData/>
  </xdr:twoCellAnchor>
  <xdr:twoCellAnchor>
    <xdr:from>
      <xdr:col>2</xdr:col>
      <xdr:colOff>53340</xdr:colOff>
      <xdr:row>2</xdr:row>
      <xdr:rowOff>175260</xdr:rowOff>
    </xdr:from>
    <xdr:to>
      <xdr:col>8</xdr:col>
      <xdr:colOff>1493520</xdr:colOff>
      <xdr:row>4</xdr:row>
      <xdr:rowOff>182880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7892A40D-2C13-4B37-8EE2-61B9A1638521}"/>
            </a:ext>
          </a:extLst>
        </xdr:cNvPr>
        <xdr:cNvSpPr/>
      </xdr:nvSpPr>
      <xdr:spPr>
        <a:xfrm>
          <a:off x="1272540" y="548640"/>
          <a:ext cx="9380220" cy="37338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ID" sz="2400" b="1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78106</xdr:colOff>
      <xdr:row>0</xdr:row>
      <xdr:rowOff>157564</xdr:rowOff>
    </xdr:from>
    <xdr:to>
      <xdr:col>3</xdr:col>
      <xdr:colOff>426720</xdr:colOff>
      <xdr:row>4</xdr:row>
      <xdr:rowOff>160136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56111A9-ED9D-4728-8CB8-FB8DB40226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4906" y="157564"/>
          <a:ext cx="706754" cy="7036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164A4-056D-45BA-8DD9-C929F462CEB5}">
  <sheetPr codeName="Sheet15">
    <pageSetUpPr fitToPage="1"/>
  </sheetPr>
  <dimension ref="A1:AB34"/>
  <sheetViews>
    <sheetView showGridLines="0" tabSelected="1" zoomScale="70" zoomScaleNormal="70" workbookViewId="0">
      <selection activeCell="M21" sqref="M21"/>
    </sheetView>
  </sheetViews>
  <sheetFormatPr defaultColWidth="0" defaultRowHeight="14.5"/>
  <cols>
    <col min="1" max="1" width="8.81640625" customWidth="1"/>
    <col min="2" max="2" width="4.54296875" customWidth="1"/>
    <col min="3" max="3" width="19.26953125" customWidth="1"/>
    <col min="4" max="4" width="33.90625" customWidth="1"/>
    <col min="5" max="5" width="32.54296875" customWidth="1"/>
    <col min="6" max="9" width="18.81640625" customWidth="1"/>
    <col min="10" max="10" width="18.90625" customWidth="1"/>
    <col min="11" max="11" width="1.26953125" customWidth="1"/>
    <col min="12" max="13" width="8.81640625" customWidth="1"/>
    <col min="14" max="14" width="24.36328125" customWidth="1"/>
    <col min="15" max="23" width="8.81640625" customWidth="1"/>
    <col min="24" max="28" width="0" hidden="1" customWidth="1"/>
    <col min="29" max="16384" width="8.81640625" hidden="1"/>
  </cols>
  <sheetData>
    <row r="1" spans="2:16" ht="15" thickBot="1"/>
    <row r="2" spans="2:16" ht="14.5" customHeight="1">
      <c r="B2" s="1"/>
      <c r="C2" s="107"/>
      <c r="D2" s="155" t="s">
        <v>74</v>
      </c>
      <c r="E2" s="156"/>
      <c r="F2" s="156"/>
      <c r="G2" s="156"/>
      <c r="H2" s="156"/>
      <c r="I2" s="156"/>
      <c r="J2" s="108"/>
      <c r="K2" s="2"/>
    </row>
    <row r="3" spans="2:16" ht="14.5" customHeight="1">
      <c r="B3" s="3"/>
      <c r="C3" s="106"/>
      <c r="D3" s="157"/>
      <c r="E3" s="158"/>
      <c r="F3" s="158"/>
      <c r="G3" s="158"/>
      <c r="H3" s="158"/>
      <c r="I3" s="158"/>
      <c r="J3" s="109"/>
      <c r="K3" s="2"/>
    </row>
    <row r="4" spans="2:16" ht="14.5" customHeight="1">
      <c r="B4" s="3"/>
      <c r="C4" s="106"/>
      <c r="D4" s="157"/>
      <c r="E4" s="158"/>
      <c r="F4" s="158"/>
      <c r="G4" s="158"/>
      <c r="H4" s="158"/>
      <c r="I4" s="158"/>
      <c r="J4" s="109"/>
      <c r="K4" s="2"/>
    </row>
    <row r="5" spans="2:16" ht="15" customHeight="1" thickBot="1">
      <c r="B5" s="153" t="s">
        <v>0</v>
      </c>
      <c r="C5" s="154"/>
      <c r="D5" s="159"/>
      <c r="E5" s="160"/>
      <c r="F5" s="160"/>
      <c r="G5" s="160"/>
      <c r="H5" s="160"/>
      <c r="I5" s="160"/>
      <c r="J5" s="110"/>
      <c r="K5" s="2"/>
    </row>
    <row r="6" spans="2:16" ht="15" thickBot="1">
      <c r="B6" s="4"/>
      <c r="C6" s="4"/>
      <c r="D6" s="4"/>
      <c r="E6" s="4"/>
      <c r="F6" s="4"/>
      <c r="G6" s="4"/>
      <c r="H6" s="4"/>
      <c r="I6" s="4"/>
      <c r="J6" s="4"/>
      <c r="K6" s="4"/>
    </row>
    <row r="7" spans="2:16">
      <c r="B7" s="161" t="s">
        <v>1</v>
      </c>
      <c r="C7" s="162"/>
      <c r="D7" s="163"/>
      <c r="E7" s="171" t="s">
        <v>72</v>
      </c>
      <c r="F7" s="172"/>
      <c r="G7" s="167" t="s">
        <v>2</v>
      </c>
      <c r="H7" s="168"/>
      <c r="I7" s="168"/>
      <c r="J7" s="169" t="s">
        <v>114</v>
      </c>
      <c r="K7" s="5"/>
    </row>
    <row r="8" spans="2:16" ht="15" thickBot="1">
      <c r="B8" s="164"/>
      <c r="C8" s="165"/>
      <c r="D8" s="166"/>
      <c r="E8" s="173"/>
      <c r="F8" s="174"/>
      <c r="G8" s="211" t="s">
        <v>192</v>
      </c>
      <c r="H8" s="212"/>
      <c r="I8" s="213"/>
      <c r="J8" s="170"/>
      <c r="K8" s="6"/>
    </row>
    <row r="9" spans="2:16" ht="15" thickBot="1">
      <c r="B9" s="2"/>
      <c r="C9" s="2"/>
      <c r="D9" s="2"/>
      <c r="E9" s="2"/>
      <c r="F9" s="2"/>
      <c r="G9" s="2"/>
      <c r="H9" s="2"/>
      <c r="I9" s="2"/>
      <c r="J9" s="109"/>
      <c r="K9" s="2"/>
      <c r="N9" s="125" t="s">
        <v>193</v>
      </c>
      <c r="O9" s="125"/>
      <c r="P9" s="125"/>
    </row>
    <row r="10" spans="2:16">
      <c r="B10" s="96" t="s">
        <v>3</v>
      </c>
      <c r="C10" s="97"/>
      <c r="D10" s="113" t="s">
        <v>4</v>
      </c>
      <c r="E10" s="88"/>
      <c r="F10" s="177"/>
      <c r="G10" s="176"/>
      <c r="H10" s="175"/>
      <c r="I10" s="175"/>
      <c r="J10" s="111"/>
      <c r="K10" s="7"/>
      <c r="N10" s="120" t="s">
        <v>126</v>
      </c>
      <c r="O10" s="152"/>
    </row>
    <row r="11" spans="2:16">
      <c r="B11" s="98" t="s">
        <v>5</v>
      </c>
      <c r="C11" s="99"/>
      <c r="D11" s="114"/>
      <c r="E11" s="7"/>
      <c r="F11" s="216"/>
      <c r="G11" s="217"/>
      <c r="H11" s="148"/>
      <c r="I11" s="148"/>
      <c r="J11" s="89"/>
      <c r="K11" s="7"/>
      <c r="N11" s="124" t="s">
        <v>127</v>
      </c>
      <c r="O11" s="152"/>
    </row>
    <row r="12" spans="2:16">
      <c r="B12" s="100" t="s">
        <v>6</v>
      </c>
      <c r="C12" s="101"/>
      <c r="D12" s="149"/>
      <c r="E12" s="148"/>
      <c r="F12" s="216"/>
      <c r="G12" s="217"/>
      <c r="H12" s="148"/>
      <c r="I12" s="148"/>
      <c r="J12" s="151"/>
      <c r="K12" s="7"/>
      <c r="N12" s="121"/>
    </row>
    <row r="13" spans="2:16" ht="33.5" customHeight="1">
      <c r="B13" s="102"/>
      <c r="C13" s="103"/>
      <c r="D13" s="150"/>
      <c r="E13" s="148"/>
      <c r="F13" s="216"/>
      <c r="G13" s="217"/>
      <c r="H13" s="148"/>
      <c r="I13" s="148"/>
      <c r="J13" s="151"/>
      <c r="K13" s="7"/>
      <c r="N13" s="121"/>
    </row>
    <row r="14" spans="2:16">
      <c r="B14" s="104" t="s">
        <v>73</v>
      </c>
      <c r="C14" s="4"/>
      <c r="D14" s="115"/>
      <c r="E14" s="148"/>
      <c r="F14" s="216"/>
      <c r="G14" s="217"/>
      <c r="H14" s="148"/>
      <c r="I14" s="148"/>
      <c r="J14" s="151"/>
      <c r="K14" s="7"/>
      <c r="N14" s="122" t="s">
        <v>128</v>
      </c>
    </row>
    <row r="15" spans="2:16" ht="15" thickBot="1">
      <c r="B15" s="105"/>
      <c r="C15" s="91"/>
      <c r="D15" s="116"/>
      <c r="E15" s="90"/>
      <c r="F15" s="218"/>
      <c r="G15" s="219"/>
      <c r="H15" s="139"/>
      <c r="I15" s="139"/>
      <c r="J15" s="112"/>
      <c r="K15" s="8"/>
      <c r="N15" s="123" t="s">
        <v>129</v>
      </c>
    </row>
    <row r="16" spans="2:16" ht="15" thickBot="1"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2:15">
      <c r="B17" s="142" t="s">
        <v>7</v>
      </c>
      <c r="C17" s="144" t="s">
        <v>190</v>
      </c>
      <c r="D17" s="129" t="s">
        <v>71</v>
      </c>
      <c r="E17" s="129" t="s">
        <v>8</v>
      </c>
      <c r="F17" s="146" t="s">
        <v>9</v>
      </c>
      <c r="G17" s="146" t="s">
        <v>10</v>
      </c>
      <c r="H17" s="146" t="s">
        <v>11</v>
      </c>
      <c r="I17" s="146" t="s">
        <v>12</v>
      </c>
      <c r="J17" s="127" t="s">
        <v>13</v>
      </c>
      <c r="K17" s="9"/>
    </row>
    <row r="18" spans="2:15" ht="15" thickBot="1">
      <c r="B18" s="143"/>
      <c r="C18" s="145"/>
      <c r="D18" s="130"/>
      <c r="E18" s="130"/>
      <c r="F18" s="147"/>
      <c r="G18" s="147"/>
      <c r="H18" s="147"/>
      <c r="I18" s="147"/>
      <c r="J18" s="128"/>
      <c r="K18" s="9"/>
    </row>
    <row r="19" spans="2:15" ht="17.649999999999999" customHeight="1">
      <c r="B19" s="10">
        <v>1</v>
      </c>
      <c r="C19" s="214"/>
      <c r="D19" s="214"/>
      <c r="E19" s="215" t="s">
        <v>14</v>
      </c>
      <c r="F19" s="92">
        <f>ATK!H20</f>
        <v>0</v>
      </c>
      <c r="G19" s="92">
        <f>ATK!H35</f>
        <v>0</v>
      </c>
      <c r="H19" s="92">
        <f>ATK!H50</f>
        <v>0</v>
      </c>
      <c r="I19" s="92">
        <f>ATK!H65</f>
        <v>0</v>
      </c>
      <c r="J19" s="117">
        <f>SUM(F19:I19)</f>
        <v>0</v>
      </c>
      <c r="K19" s="12"/>
    </row>
    <row r="20" spans="2:15" ht="17.649999999999999" customHeight="1">
      <c r="B20" s="13">
        <f>1+B19</f>
        <v>2</v>
      </c>
      <c r="C20" s="214"/>
      <c r="D20" s="214"/>
      <c r="E20" s="214" t="s">
        <v>15</v>
      </c>
      <c r="F20" s="93">
        <f>BBM!H20</f>
        <v>0</v>
      </c>
      <c r="G20" s="93">
        <f>BBM!H35</f>
        <v>0</v>
      </c>
      <c r="H20" s="93">
        <f>BBM!H50</f>
        <v>0</v>
      </c>
      <c r="I20" s="93">
        <f>BBM!H65</f>
        <v>0</v>
      </c>
      <c r="J20" s="118">
        <f>SUM(F20:I20)</f>
        <v>0</v>
      </c>
      <c r="K20" s="12"/>
    </row>
    <row r="21" spans="2:15" ht="17.649999999999999" customHeight="1">
      <c r="B21" s="13">
        <f>1+B20</f>
        <v>3</v>
      </c>
      <c r="C21" s="214"/>
      <c r="D21" s="214"/>
      <c r="E21" s="214" t="s">
        <v>16</v>
      </c>
      <c r="F21" s="93">
        <f>Catering!H20</f>
        <v>0</v>
      </c>
      <c r="G21" s="93">
        <f>BBM!H36</f>
        <v>0</v>
      </c>
      <c r="H21" s="94">
        <f>Catering!H52</f>
        <v>0</v>
      </c>
      <c r="I21" s="94">
        <f>Catering!H67</f>
        <v>0</v>
      </c>
      <c r="J21" s="118">
        <f>SUM(F21:I21)</f>
        <v>0</v>
      </c>
      <c r="K21" s="12"/>
    </row>
    <row r="22" spans="2:15" ht="17.649999999999999" customHeight="1">
      <c r="B22" s="13">
        <f>1+B21</f>
        <v>4</v>
      </c>
      <c r="C22" s="214"/>
      <c r="D22" s="214"/>
      <c r="E22" s="214" t="s">
        <v>191</v>
      </c>
      <c r="F22" s="94">
        <f>'Perdin &amp; Cuti'!H20</f>
        <v>0</v>
      </c>
      <c r="G22" s="94">
        <f>'Perdin &amp; Cuti'!H35</f>
        <v>0</v>
      </c>
      <c r="H22" s="94">
        <f>'Perdin &amp; Cuti'!H50</f>
        <v>0</v>
      </c>
      <c r="I22" s="94">
        <f>'Perdin &amp; Cuti'!H65</f>
        <v>0</v>
      </c>
      <c r="J22" s="118">
        <f>SUM(F22:I22)</f>
        <v>0</v>
      </c>
      <c r="K22" s="12"/>
      <c r="O22" s="119"/>
    </row>
    <row r="23" spans="2:15" ht="17.649999999999999" customHeight="1">
      <c r="B23" s="13">
        <f>1+B22</f>
        <v>5</v>
      </c>
      <c r="C23" s="214"/>
      <c r="D23" s="214"/>
      <c r="E23" s="214" t="s">
        <v>17</v>
      </c>
      <c r="F23" s="94">
        <f>'Listrik PLN'!H15</f>
        <v>0</v>
      </c>
      <c r="G23" s="93">
        <f>'Listrik PLN'!H25</f>
        <v>0</v>
      </c>
      <c r="H23" s="93">
        <f>'Listrik PLN'!H35</f>
        <v>0</v>
      </c>
      <c r="I23" s="93">
        <f>'Listrik PLN'!H45</f>
        <v>0</v>
      </c>
      <c r="J23" s="118">
        <f>SUM(F23:I23)</f>
        <v>0</v>
      </c>
      <c r="K23" s="12"/>
    </row>
    <row r="24" spans="2:15" ht="17.649999999999999" customHeight="1">
      <c r="B24" s="13">
        <f>1+B23</f>
        <v>6</v>
      </c>
      <c r="C24" s="214"/>
      <c r="D24" s="214"/>
      <c r="E24" s="214" t="s">
        <v>79</v>
      </c>
      <c r="F24" s="94">
        <f>'Air PDAM'!H16</f>
        <v>0</v>
      </c>
      <c r="G24" s="93">
        <f>'Air PDAM'!H26</f>
        <v>0</v>
      </c>
      <c r="H24" s="93">
        <f>'Air PDAM'!H36</f>
        <v>0</v>
      </c>
      <c r="I24" s="93">
        <f>'Air PDAM'!H46</f>
        <v>0</v>
      </c>
      <c r="J24" s="118">
        <f>SUM(F24:I24)</f>
        <v>0</v>
      </c>
      <c r="K24" s="12"/>
    </row>
    <row r="25" spans="2:15" ht="17.649999999999999" customHeight="1">
      <c r="B25" s="13">
        <f>1+B24</f>
        <v>7</v>
      </c>
      <c r="C25" s="214"/>
      <c r="D25" s="214"/>
      <c r="E25" s="214" t="s">
        <v>80</v>
      </c>
      <c r="F25" s="94">
        <f>'Telp &amp; Internet'!H17</f>
        <v>0</v>
      </c>
      <c r="G25" s="93">
        <f>'Telp &amp; Internet'!H27</f>
        <v>0</v>
      </c>
      <c r="H25" s="93">
        <f>'Telp &amp; Internet'!H37</f>
        <v>0</v>
      </c>
      <c r="I25" s="93">
        <f>'Telp &amp; Internet'!H47</f>
        <v>0</v>
      </c>
      <c r="J25" s="118">
        <f>SUM(F25:I25)</f>
        <v>0</v>
      </c>
      <c r="K25" s="12"/>
    </row>
    <row r="26" spans="2:15" ht="17.649999999999999" customHeight="1">
      <c r="B26" s="13">
        <f>1+B25</f>
        <v>8</v>
      </c>
      <c r="C26" s="214"/>
      <c r="D26" s="214"/>
      <c r="E26" s="214" t="s">
        <v>18</v>
      </c>
      <c r="F26" s="94">
        <f>Pantry!H21</f>
        <v>0</v>
      </c>
      <c r="G26" s="93">
        <f>Pantry!H37</f>
        <v>0</v>
      </c>
      <c r="H26" s="93">
        <f>Pantry!H53</f>
        <v>0</v>
      </c>
      <c r="I26" s="93">
        <f>Pantry!H69</f>
        <v>0</v>
      </c>
      <c r="J26" s="118">
        <f>SUM(F26:I26)</f>
        <v>0</v>
      </c>
      <c r="K26" s="12"/>
    </row>
    <row r="27" spans="2:15" ht="17.649999999999999" customHeight="1">
      <c r="B27" s="13">
        <f>1+B26</f>
        <v>9</v>
      </c>
      <c r="C27" s="214"/>
      <c r="D27" s="214"/>
      <c r="E27" s="214" t="s">
        <v>19</v>
      </c>
      <c r="F27" s="94">
        <f>KHL!H20</f>
        <v>0</v>
      </c>
      <c r="G27" s="95">
        <f>KHL!H35</f>
        <v>0</v>
      </c>
      <c r="H27" s="95">
        <f>KHL!H50</f>
        <v>0</v>
      </c>
      <c r="I27" s="95">
        <f>KHL!H65</f>
        <v>0</v>
      </c>
      <c r="J27" s="118">
        <f>SUM(F27:I27)</f>
        <v>0</v>
      </c>
      <c r="K27" s="12"/>
    </row>
    <row r="28" spans="2:15" ht="17.649999999999999" customHeight="1">
      <c r="B28" s="13">
        <f>1+B27</f>
        <v>10</v>
      </c>
      <c r="C28" s="214"/>
      <c r="D28" s="214"/>
      <c r="E28" s="214" t="s">
        <v>81</v>
      </c>
      <c r="F28" s="94"/>
      <c r="G28" s="95"/>
      <c r="H28" s="95"/>
      <c r="I28" s="95"/>
      <c r="J28" s="118">
        <f>SUM(F28:I28)</f>
        <v>0</v>
      </c>
      <c r="K28" s="12"/>
    </row>
    <row r="29" spans="2:15" ht="17.649999999999999" customHeight="1">
      <c r="B29" s="13">
        <f>1+B28</f>
        <v>11</v>
      </c>
      <c r="C29" s="214"/>
      <c r="D29" s="214"/>
      <c r="E29" s="214"/>
      <c r="F29" s="94"/>
      <c r="G29" s="95"/>
      <c r="H29" s="95"/>
      <c r="I29" s="95"/>
      <c r="J29" s="118">
        <f>SUM(F29:I29)</f>
        <v>0</v>
      </c>
      <c r="K29" s="12"/>
    </row>
    <row r="30" spans="2:15" ht="17.649999999999999" customHeight="1">
      <c r="B30" s="13">
        <f>1+B29</f>
        <v>12</v>
      </c>
      <c r="C30" s="214"/>
      <c r="D30" s="214"/>
      <c r="E30" s="214" t="s">
        <v>82</v>
      </c>
      <c r="F30" s="94"/>
      <c r="G30" s="95"/>
      <c r="H30" s="95"/>
      <c r="I30" s="95"/>
      <c r="J30" s="118">
        <f>SUM(F30:I30)</f>
        <v>0</v>
      </c>
      <c r="K30" s="12"/>
    </row>
    <row r="31" spans="2:15" ht="17.649999999999999" customHeight="1">
      <c r="B31" s="13">
        <f>1+B30</f>
        <v>13</v>
      </c>
      <c r="C31" s="214"/>
      <c r="D31" s="214"/>
      <c r="E31" s="214" t="s">
        <v>82</v>
      </c>
      <c r="F31" s="94"/>
      <c r="G31" s="95"/>
      <c r="H31" s="95"/>
      <c r="I31" s="95"/>
      <c r="J31" s="118">
        <f>SUM(F31:I31)</f>
        <v>0</v>
      </c>
      <c r="K31" s="12"/>
    </row>
    <row r="32" spans="2:15" ht="17.649999999999999" customHeight="1" thickBot="1">
      <c r="B32" s="13">
        <f>1+B31</f>
        <v>14</v>
      </c>
      <c r="C32" s="214"/>
      <c r="D32" s="214"/>
      <c r="E32" s="214" t="s">
        <v>82</v>
      </c>
      <c r="F32" s="95"/>
      <c r="G32" s="95"/>
      <c r="H32" s="95"/>
      <c r="I32" s="95"/>
      <c r="J32" s="118">
        <f>SUM(F32:I32)</f>
        <v>0</v>
      </c>
      <c r="K32" s="12"/>
    </row>
    <row r="33" spans="2:11" ht="24" customHeight="1">
      <c r="B33" s="133" t="s">
        <v>13</v>
      </c>
      <c r="C33" s="134"/>
      <c r="D33" s="134"/>
      <c r="E33" s="134"/>
      <c r="F33" s="137">
        <f>SUM(F19:F28)</f>
        <v>0</v>
      </c>
      <c r="G33" s="137">
        <f>SUM(G19:G28)</f>
        <v>0</v>
      </c>
      <c r="H33" s="137">
        <f>SUM(H19:H28)</f>
        <v>0</v>
      </c>
      <c r="I33" s="137">
        <f>SUM(I19:I28)</f>
        <v>0</v>
      </c>
      <c r="J33" s="131">
        <f>SUM(J19:J28)</f>
        <v>0</v>
      </c>
      <c r="K33" s="19"/>
    </row>
    <row r="34" spans="2:11" ht="24" customHeight="1" thickBot="1">
      <c r="B34" s="135"/>
      <c r="C34" s="136"/>
      <c r="D34" s="136"/>
      <c r="E34" s="136"/>
      <c r="F34" s="138"/>
      <c r="G34" s="138"/>
      <c r="H34" s="138"/>
      <c r="I34" s="138"/>
      <c r="J34" s="132"/>
      <c r="K34" s="19"/>
    </row>
  </sheetData>
  <mergeCells count="34">
    <mergeCell ref="O10:O11"/>
    <mergeCell ref="B5:C5"/>
    <mergeCell ref="D2:I5"/>
    <mergeCell ref="B7:D8"/>
    <mergeCell ref="G7:I7"/>
    <mergeCell ref="J7:J8"/>
    <mergeCell ref="G8:I8"/>
    <mergeCell ref="E7:F8"/>
    <mergeCell ref="F10:G10"/>
    <mergeCell ref="H10:I10"/>
    <mergeCell ref="F11:G11"/>
    <mergeCell ref="H11:I11"/>
    <mergeCell ref="E12:E14"/>
    <mergeCell ref="D12:D13"/>
    <mergeCell ref="F12:G14"/>
    <mergeCell ref="H12:I14"/>
    <mergeCell ref="J12:J14"/>
    <mergeCell ref="F15:G15"/>
    <mergeCell ref="H15:I15"/>
    <mergeCell ref="B17:B18"/>
    <mergeCell ref="C17:C18"/>
    <mergeCell ref="E17:E18"/>
    <mergeCell ref="F17:F18"/>
    <mergeCell ref="G17:G18"/>
    <mergeCell ref="H17:H18"/>
    <mergeCell ref="I17:I18"/>
    <mergeCell ref="J17:J18"/>
    <mergeCell ref="D17:D18"/>
    <mergeCell ref="J33:J34"/>
    <mergeCell ref="B33:E34"/>
    <mergeCell ref="F33:F34"/>
    <mergeCell ref="G33:G34"/>
    <mergeCell ref="H33:H34"/>
    <mergeCell ref="I33:I34"/>
  </mergeCells>
  <printOptions horizontalCentered="1"/>
  <pageMargins left="0" right="0" top="0" bottom="0" header="0.3" footer="0.3"/>
  <pageSetup scale="74" orientation="landscape" horizont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C5CF2-EBEC-4C94-9F75-EB19607A1B9E}">
  <sheetPr codeName="Sheet9">
    <pageSetUpPr fitToPage="1"/>
  </sheetPr>
  <dimension ref="C2:H67"/>
  <sheetViews>
    <sheetView showGridLines="0" zoomScale="85" zoomScaleNormal="85" workbookViewId="0">
      <selection activeCell="C7" sqref="C7"/>
    </sheetView>
  </sheetViews>
  <sheetFormatPr defaultColWidth="9.26953125" defaultRowHeight="13"/>
  <cols>
    <col min="1" max="2" width="7.7265625" style="20" customWidth="1"/>
    <col min="3" max="3" width="5.26953125" style="20" customWidth="1"/>
    <col min="4" max="4" width="41.7265625" style="20" customWidth="1"/>
    <col min="5" max="5" width="11.453125" style="20" bestFit="1" customWidth="1"/>
    <col min="6" max="6" width="8.54296875" style="20" customWidth="1"/>
    <col min="7" max="7" width="20.26953125" style="20" customWidth="1"/>
    <col min="8" max="8" width="16.7265625" style="20" bestFit="1" customWidth="1"/>
    <col min="9" max="9" width="1.453125" style="20" customWidth="1"/>
    <col min="10" max="10" width="9.26953125" style="20"/>
    <col min="11" max="11" width="11.7265625" style="20" bestFit="1" customWidth="1"/>
    <col min="12" max="16384" width="9.26953125" style="20"/>
  </cols>
  <sheetData>
    <row r="2">
      <c r="C2" s="195" t="s">
        <v>74</v>
      </c>
      <c r="D2" s="196"/>
      <c r="E2" s="196"/>
      <c r="F2" s="196"/>
      <c r="G2" s="196"/>
      <c r="H2" s="196"/>
    </row>
    <row r="3">
      <c r="C3" s="196"/>
      <c r="D3" s="196"/>
      <c r="E3" s="196"/>
      <c r="F3" s="196"/>
      <c r="G3" s="196"/>
      <c r="H3" s="196"/>
    </row>
    <row r="4">
      <c r="C4" s="196"/>
      <c r="D4" s="196"/>
      <c r="E4" s="196"/>
      <c r="F4" s="196"/>
      <c r="G4" s="196"/>
      <c r="H4" s="196"/>
    </row>
    <row r="5">
      <c r="C5" s="196"/>
      <c r="D5" s="196"/>
      <c r="E5" s="196"/>
      <c r="F5" s="196"/>
      <c r="G5" s="196"/>
      <c r="H5" s="196"/>
    </row>
    <row r="6" ht="13.5" thickBot="1"/>
    <row r="7" ht="18" customHeight="1" thickBot="1">
      <c r="C7" s="186"/>
      <c r="D7" s="187"/>
      <c r="E7" s="187"/>
      <c r="F7" s="187"/>
      <c r="G7" s="187"/>
      <c r="H7" s="188"/>
    </row>
    <row r="8" ht="15" customHeight="1">
      <c r="C8" s="189" t="s">
        <v>20</v>
      </c>
      <c r="D8" s="191" t="s">
        <v>21</v>
      </c>
      <c r="E8" s="191" t="s">
        <v>22</v>
      </c>
      <c r="F8" s="191" t="s">
        <v>23</v>
      </c>
      <c r="G8" s="191" t="s">
        <v>24</v>
      </c>
      <c r="H8" s="193" t="s">
        <v>25</v>
      </c>
    </row>
    <row r="9" ht="13.9" customHeight="1" thickBot="1">
      <c r="C9" s="190"/>
      <c r="D9" s="192"/>
      <c r="E9" s="192"/>
      <c r="F9" s="192"/>
      <c r="G9" s="192"/>
      <c r="H9" s="194"/>
    </row>
    <row r="10" ht="14.5" customHeight="1">
      <c r="C10" s="21"/>
      <c r="D10" s="27"/>
      <c r="E10" s="23"/>
      <c r="F10" s="23"/>
      <c r="G10" s="28"/>
      <c r="H10" s="25"/>
    </row>
    <row r="11" ht="14.5" customHeight="1">
      <c r="C11" s="21"/>
      <c r="D11" s="27"/>
      <c r="E11" s="23"/>
      <c r="F11" s="23"/>
      <c r="G11" s="28"/>
      <c r="H11" s="25"/>
    </row>
    <row r="12" ht="14.5" customHeight="1">
      <c r="C12" s="21"/>
      <c r="D12" s="27"/>
      <c r="E12" s="23"/>
      <c r="F12" s="23"/>
      <c r="G12" s="28"/>
      <c r="H12" s="25"/>
    </row>
    <row r="13" ht="14.5" customHeight="1">
      <c r="C13" s="21"/>
      <c r="D13" s="27"/>
      <c r="E13" s="23"/>
      <c r="F13" s="23"/>
      <c r="G13" s="28"/>
      <c r="H13" s="25"/>
    </row>
    <row r="14" ht="14.5" customHeight="1">
      <c r="C14" s="21"/>
      <c r="D14" s="27"/>
      <c r="E14" s="23"/>
      <c r="F14" s="23"/>
      <c r="G14" s="28"/>
      <c r="H14" s="25"/>
    </row>
    <row r="15" ht="14.5" customHeight="1">
      <c r="C15" s="21"/>
      <c r="D15" s="27"/>
      <c r="E15" s="23"/>
      <c r="F15" s="23"/>
      <c r="G15" s="28"/>
      <c r="H15" s="25"/>
    </row>
    <row r="16" ht="14.5" customHeight="1">
      <c r="C16" s="21"/>
      <c r="D16" s="27"/>
      <c r="E16" s="23"/>
      <c r="F16" s="23"/>
      <c r="G16" s="28"/>
      <c r="H16" s="25"/>
    </row>
    <row r="17" ht="14.5" customHeight="1">
      <c r="C17" s="21"/>
      <c r="D17" s="27"/>
      <c r="E17" s="23"/>
      <c r="F17" s="23"/>
      <c r="G17" s="28"/>
      <c r="H17" s="25"/>
    </row>
    <row r="18" ht="14.5" customHeight="1">
      <c r="C18" s="21"/>
      <c r="D18" s="27"/>
      <c r="E18" s="23"/>
      <c r="F18" s="23"/>
      <c r="G18" s="28"/>
      <c r="H18" s="25"/>
    </row>
    <row r="19" ht="15" thickBot="1">
      <c r="C19" s="34"/>
      <c r="D19" s="35"/>
      <c r="E19" s="36"/>
      <c r="F19" s="36"/>
      <c r="G19" s="38"/>
      <c r="H19" s="39"/>
    </row>
    <row r="20" ht="16.5" thickBot="1">
      <c r="C20" s="184" t="s">
        <v>13</v>
      </c>
      <c r="D20" s="185"/>
      <c r="E20" s="185"/>
      <c r="F20" s="185"/>
      <c r="G20" s="185"/>
      <c r="H20" s="40">
        <f>SUM(H10:H19)</f>
        <v>0</v>
      </c>
    </row>
    <row r="21" ht="13.5" thickBot="1"/>
    <row r="22" ht="18" customHeight="1" thickBot="1">
      <c r="C22" s="186"/>
      <c r="D22" s="187"/>
      <c r="E22" s="187"/>
      <c r="F22" s="187"/>
      <c r="G22" s="187"/>
      <c r="H22" s="188"/>
    </row>
    <row r="23" ht="15" customHeight="1">
      <c r="C23" s="189" t="s">
        <v>20</v>
      </c>
      <c r="D23" s="191" t="s">
        <v>21</v>
      </c>
      <c r="E23" s="191" t="s">
        <v>22</v>
      </c>
      <c r="F23" s="191" t="s">
        <v>23</v>
      </c>
      <c r="G23" s="191" t="s">
        <v>24</v>
      </c>
      <c r="H23" s="193" t="s">
        <v>25</v>
      </c>
    </row>
    <row r="24" ht="13.9" customHeight="1" thickBot="1">
      <c r="C24" s="190"/>
      <c r="D24" s="192"/>
      <c r="E24" s="192"/>
      <c r="F24" s="192"/>
      <c r="G24" s="192"/>
      <c r="H24" s="194"/>
    </row>
    <row r="25" ht="14.5" customHeight="1">
      <c r="C25" s="21"/>
      <c r="D25" s="27"/>
      <c r="E25" s="23"/>
      <c r="F25" s="23"/>
      <c r="G25" s="28"/>
      <c r="H25" s="25"/>
    </row>
    <row r="26" ht="14.5" customHeight="1">
      <c r="C26" s="21"/>
      <c r="D26" s="27"/>
      <c r="E26" s="23"/>
      <c r="F26" s="23"/>
      <c r="G26" s="28"/>
      <c r="H26" s="25"/>
    </row>
    <row r="27" ht="14.5" customHeight="1">
      <c r="C27" s="21"/>
      <c r="D27" s="27"/>
      <c r="E27" s="23"/>
      <c r="F27" s="23"/>
      <c r="G27" s="28"/>
      <c r="H27" s="25"/>
    </row>
    <row r="28" ht="14.5" customHeight="1">
      <c r="C28" s="21"/>
      <c r="D28" s="27"/>
      <c r="E28" s="23"/>
      <c r="F28" s="23"/>
      <c r="G28" s="28"/>
      <c r="H28" s="25"/>
    </row>
    <row r="29" ht="14.5" customHeight="1">
      <c r="C29" s="21"/>
      <c r="D29" s="27"/>
      <c r="E29" s="23"/>
      <c r="F29" s="23"/>
      <c r="G29" s="28"/>
      <c r="H29" s="25"/>
    </row>
    <row r="30" ht="14.5" customHeight="1">
      <c r="C30" s="21"/>
      <c r="D30" s="27"/>
      <c r="E30" s="23"/>
      <c r="F30" s="23"/>
      <c r="G30" s="28"/>
      <c r="H30" s="25"/>
    </row>
    <row r="31" ht="14.5" customHeight="1">
      <c r="C31" s="21"/>
      <c r="D31" s="27"/>
      <c r="E31" s="23"/>
      <c r="F31" s="23"/>
      <c r="G31" s="28"/>
      <c r="H31" s="25"/>
    </row>
    <row r="32" ht="14.5" customHeight="1">
      <c r="C32" s="21"/>
      <c r="D32" s="27"/>
      <c r="E32" s="23"/>
      <c r="F32" s="23"/>
      <c r="G32" s="28"/>
      <c r="H32" s="25"/>
    </row>
    <row r="33" ht="14.5" customHeight="1">
      <c r="C33" s="21"/>
      <c r="D33" s="27"/>
      <c r="E33" s="23"/>
      <c r="F33" s="23"/>
      <c r="G33" s="28"/>
      <c r="H33" s="25"/>
    </row>
    <row r="34" ht="15" thickBot="1">
      <c r="C34" s="34"/>
      <c r="D34" s="35"/>
      <c r="E34" s="36"/>
      <c r="F34" s="36"/>
      <c r="G34" s="38"/>
      <c r="H34" s="39"/>
    </row>
    <row r="35" ht="16.5" thickBot="1">
      <c r="C35" s="184" t="s">
        <v>13</v>
      </c>
      <c r="D35" s="185"/>
      <c r="E35" s="185"/>
      <c r="F35" s="185"/>
      <c r="G35" s="185"/>
      <c r="H35" s="40">
        <f>SUM(H25:H34)</f>
        <v>0</v>
      </c>
    </row>
    <row r="36" ht="13.5" thickBot="1">
      <c r="H36" s="42"/>
    </row>
    <row r="37" ht="18" customHeight="1" thickBot="1">
      <c r="C37" s="186"/>
      <c r="D37" s="187"/>
      <c r="E37" s="187"/>
      <c r="F37" s="187"/>
      <c r="G37" s="187"/>
      <c r="H37" s="188"/>
    </row>
    <row r="38" ht="15" customHeight="1">
      <c r="C38" s="189" t="s">
        <v>20</v>
      </c>
      <c r="D38" s="191" t="s">
        <v>21</v>
      </c>
      <c r="E38" s="191" t="s">
        <v>22</v>
      </c>
      <c r="F38" s="191" t="s">
        <v>23</v>
      </c>
      <c r="G38" s="191" t="s">
        <v>24</v>
      </c>
      <c r="H38" s="193" t="s">
        <v>25</v>
      </c>
    </row>
    <row r="39" ht="13.9" customHeight="1" thickBot="1">
      <c r="C39" s="190"/>
      <c r="D39" s="192"/>
      <c r="E39" s="192"/>
      <c r="F39" s="192"/>
      <c r="G39" s="192"/>
      <c r="H39" s="194"/>
    </row>
    <row r="40" ht="14.5" customHeight="1">
      <c r="C40" s="21"/>
      <c r="D40" s="27"/>
      <c r="E40" s="23"/>
      <c r="F40" s="23"/>
      <c r="G40" s="28"/>
      <c r="H40" s="25"/>
    </row>
    <row r="41" ht="14.5" customHeight="1">
      <c r="C41" s="21"/>
      <c r="D41" s="27"/>
      <c r="E41" s="23"/>
      <c r="F41" s="23"/>
      <c r="G41" s="28"/>
      <c r="H41" s="25"/>
    </row>
    <row r="42" ht="14.5" customHeight="1">
      <c r="C42" s="21"/>
      <c r="D42" s="27"/>
      <c r="E42" s="23"/>
      <c r="F42" s="23"/>
      <c r="G42" s="28"/>
      <c r="H42" s="25"/>
    </row>
    <row r="43" ht="14.5" customHeight="1">
      <c r="C43" s="21"/>
      <c r="D43" s="27"/>
      <c r="E43" s="23"/>
      <c r="F43" s="23"/>
      <c r="G43" s="28"/>
      <c r="H43" s="25"/>
    </row>
    <row r="44" ht="14.5" customHeight="1">
      <c r="C44" s="21"/>
      <c r="D44" s="27"/>
      <c r="E44" s="23"/>
      <c r="F44" s="23"/>
      <c r="G44" s="28"/>
      <c r="H44" s="25"/>
    </row>
    <row r="45" ht="14.5" customHeight="1">
      <c r="C45" s="21"/>
      <c r="D45" s="27"/>
      <c r="E45" s="23"/>
      <c r="F45" s="23"/>
      <c r="G45" s="28"/>
      <c r="H45" s="25"/>
    </row>
    <row r="46" ht="14.5" customHeight="1">
      <c r="C46" s="21"/>
      <c r="D46" s="27"/>
      <c r="E46" s="23"/>
      <c r="F46" s="23"/>
      <c r="G46" s="28"/>
      <c r="H46" s="25"/>
    </row>
    <row r="47" ht="14.5" customHeight="1">
      <c r="C47" s="21"/>
      <c r="D47" s="27"/>
      <c r="E47" s="23"/>
      <c r="F47" s="23"/>
      <c r="G47" s="28"/>
      <c r="H47" s="25"/>
    </row>
    <row r="48" ht="14.5" customHeight="1">
      <c r="C48" s="21"/>
      <c r="D48" s="27"/>
      <c r="E48" s="23"/>
      <c r="F48" s="23"/>
      <c r="G48" s="28"/>
      <c r="H48" s="25"/>
    </row>
    <row r="49" ht="15" thickBot="1">
      <c r="C49" s="34"/>
      <c r="D49" s="35"/>
      <c r="E49" s="36"/>
      <c r="F49" s="36"/>
      <c r="G49" s="38"/>
      <c r="H49" s="39"/>
    </row>
    <row r="50" ht="16.5" thickBot="1">
      <c r="C50" s="184" t="s">
        <v>13</v>
      </c>
      <c r="D50" s="185"/>
      <c r="E50" s="185"/>
      <c r="F50" s="185"/>
      <c r="G50" s="185"/>
      <c r="H50" s="40">
        <f>SUM(H40:H49)</f>
        <v>0</v>
      </c>
    </row>
    <row r="51" ht="13.5" thickBot="1">
      <c r="H51" s="43"/>
    </row>
    <row r="52" ht="18" customHeight="1" thickBot="1">
      <c r="C52" s="186"/>
      <c r="D52" s="187"/>
      <c r="E52" s="187"/>
      <c r="F52" s="187"/>
      <c r="G52" s="187"/>
      <c r="H52" s="188"/>
    </row>
    <row r="53" ht="15" customHeight="1">
      <c r="C53" s="189" t="s">
        <v>20</v>
      </c>
      <c r="D53" s="191" t="s">
        <v>21</v>
      </c>
      <c r="E53" s="191" t="s">
        <v>22</v>
      </c>
      <c r="F53" s="191" t="s">
        <v>23</v>
      </c>
      <c r="G53" s="191" t="s">
        <v>24</v>
      </c>
      <c r="H53" s="193" t="s">
        <v>25</v>
      </c>
    </row>
    <row r="54" ht="13.9" customHeight="1" thickBot="1">
      <c r="C54" s="190"/>
      <c r="D54" s="192"/>
      <c r="E54" s="192"/>
      <c r="F54" s="192"/>
      <c r="G54" s="192"/>
      <c r="H54" s="194"/>
    </row>
    <row r="55" ht="14.5" customHeight="1">
      <c r="C55" s="21"/>
      <c r="D55" s="27"/>
      <c r="E55" s="23"/>
      <c r="F55" s="23"/>
      <c r="G55" s="28"/>
      <c r="H55" s="25"/>
    </row>
    <row r="56" ht="14.5" customHeight="1">
      <c r="C56" s="21"/>
      <c r="D56" s="27"/>
      <c r="E56" s="23"/>
      <c r="F56" s="23"/>
      <c r="G56" s="28"/>
      <c r="H56" s="25"/>
    </row>
    <row r="57" ht="14.5" customHeight="1">
      <c r="C57" s="21"/>
      <c r="D57" s="27"/>
      <c r="E57" s="23"/>
      <c r="F57" s="23"/>
      <c r="G57" s="28"/>
      <c r="H57" s="25"/>
    </row>
    <row r="58" ht="14.5" customHeight="1">
      <c r="C58" s="21"/>
      <c r="D58" s="27"/>
      <c r="E58" s="23"/>
      <c r="F58" s="23"/>
      <c r="G58" s="28"/>
      <c r="H58" s="25"/>
    </row>
    <row r="59" ht="14.5" customHeight="1">
      <c r="C59" s="21"/>
      <c r="D59" s="27"/>
      <c r="E59" s="23"/>
      <c r="F59" s="23"/>
      <c r="G59" s="28"/>
      <c r="H59" s="25"/>
    </row>
    <row r="60" ht="14.5" customHeight="1">
      <c r="C60" s="21"/>
      <c r="D60" s="27"/>
      <c r="E60" s="23"/>
      <c r="F60" s="23"/>
      <c r="G60" s="28"/>
      <c r="H60" s="25"/>
    </row>
    <row r="61" ht="14.5" customHeight="1">
      <c r="C61" s="21"/>
      <c r="D61" s="27"/>
      <c r="E61" s="23"/>
      <c r="F61" s="23"/>
      <c r="G61" s="28"/>
      <c r="H61" s="25"/>
    </row>
    <row r="62" ht="14.5" customHeight="1">
      <c r="C62" s="21"/>
      <c r="D62" s="27"/>
      <c r="E62" s="23"/>
      <c r="F62" s="23"/>
      <c r="G62" s="28"/>
      <c r="H62" s="25"/>
    </row>
    <row r="63" ht="14.5" customHeight="1">
      <c r="C63" s="21"/>
      <c r="D63" s="27"/>
      <c r="E63" s="23"/>
      <c r="F63" s="23"/>
      <c r="G63" s="28"/>
      <c r="H63" s="25"/>
    </row>
    <row r="64" ht="15" thickBot="1">
      <c r="C64" s="34"/>
      <c r="D64" s="35"/>
      <c r="E64" s="36"/>
      <c r="F64" s="36"/>
      <c r="G64" s="38"/>
      <c r="H64" s="39"/>
    </row>
    <row r="65" ht="16.5" thickBot="1">
      <c r="C65" s="184" t="s">
        <v>13</v>
      </c>
      <c r="D65" s="185"/>
      <c r="E65" s="185"/>
      <c r="F65" s="185"/>
      <c r="G65" s="185"/>
      <c r="H65" s="40">
        <f>SUM(H55:H64)</f>
        <v>0</v>
      </c>
    </row>
    <row r="66" ht="6" customHeight="1"/>
    <row r="67" ht="21.4" customHeight="1" thickBot="1">
      <c r="C67" s="180" t="inlineStr">
        <is>
          <t>Grand Total</t>
        </is>
      </c>
      <c r="D67" s="181"/>
      <c r="E67" s="181"/>
      <c r="F67" s="181"/>
      <c r="G67" s="182"/>
      <c r="H67" s="50"/>
    </row>
  </sheetData>
  <mergeCells count="34">
    <mergeCell ref="C2:H5"/>
    <mergeCell ref="C7:H7"/>
    <mergeCell ref="C8:C9"/>
    <mergeCell ref="D8:D9"/>
    <mergeCell ref="E8:E9"/>
    <mergeCell ref="F8:F9"/>
    <mergeCell ref="G8:G9"/>
    <mergeCell ref="H8:H9"/>
    <mergeCell ref="C20:G20"/>
    <mergeCell ref="C22:H22"/>
    <mergeCell ref="C23:C24"/>
    <mergeCell ref="D23:D24"/>
    <mergeCell ref="E23:E24"/>
    <mergeCell ref="F23:F24"/>
    <mergeCell ref="G23:G24"/>
    <mergeCell ref="H23:H24"/>
    <mergeCell ref="C35:G35"/>
    <mergeCell ref="C37:H37"/>
    <mergeCell ref="C38:C39"/>
    <mergeCell ref="D38:D39"/>
    <mergeCell ref="E38:E39"/>
    <mergeCell ref="F38:F39"/>
    <mergeCell ref="G38:G39"/>
    <mergeCell ref="H38:H39"/>
    <mergeCell ref="C50:G50"/>
    <mergeCell ref="C52:H52"/>
    <mergeCell ref="C53:C54"/>
    <mergeCell ref="D53:D54"/>
    <mergeCell ref="E53:E54"/>
    <mergeCell ref="F53:F54"/>
    <mergeCell ref="G53:G54"/>
    <mergeCell ref="H53:H54"/>
    <mergeCell ref="C65:G65"/>
    <mergeCell ref="C67:G67"/>
  </mergeCells>
  <pageMargins left="0.7" right="0.7" top="0.75" bottom="0.75" header="0.3" footer="0.3"/>
  <pageSetup paperSize="9" scale="90" fitToWidth="1" fitToHeight="0" orientation="portrait" horizontalDpi="4294967293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33b19e0-a06d-4027-b1ef-a980ee54fc27">
      <Terms xmlns="http://schemas.microsoft.com/office/infopath/2007/PartnerControls"/>
    </lcf76f155ced4ddcb4097134ff3c332f>
    <TaxCatchAll xmlns="e43ec466-17dd-4e2e-9db3-691f307955d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28DBC71A144C42A5CE727BB9FD151C" ma:contentTypeVersion="16" ma:contentTypeDescription="Create a new document." ma:contentTypeScope="" ma:versionID="4a97f967e7e9b9dcc36c044bcacffb30">
  <xsd:schema xmlns:xsd="http://www.w3.org/2001/XMLSchema" xmlns:xs="http://www.w3.org/2001/XMLSchema" xmlns:p="http://schemas.microsoft.com/office/2006/metadata/properties" xmlns:ns2="e43ec466-17dd-4e2e-9db3-691f307955d0" xmlns:ns3="733b19e0-a06d-4027-b1ef-a980ee54fc27" targetNamespace="http://schemas.microsoft.com/office/2006/metadata/properties" ma:root="true" ma:fieldsID="ee62466a8e2f887663d0f970900cbc01" ns2:_="" ns3:_="">
    <xsd:import namespace="e43ec466-17dd-4e2e-9db3-691f307955d0"/>
    <xsd:import namespace="733b19e0-a06d-4027-b1ef-a980ee54fc2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3ec466-17dd-4e2e-9db3-691f307955d0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e3be2193-db06-4192-b888-0a16a5b453d5}" ma:internalName="TaxCatchAll" ma:showField="CatchAllData" ma:web="e43ec466-17dd-4e2e-9db3-691f307955d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33b19e0-a06d-4027-b1ef-a980ee54fc2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d74a29d-bbd6-4927-bbfc-9fa919d0c7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4859761-AB52-4813-97F8-B115E184E4C4}">
  <ds:schemaRefs>
    <ds:schemaRef ds:uri="http://purl.org/dc/elements/1.1/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733b19e0-a06d-4027-b1ef-a980ee54fc27"/>
    <ds:schemaRef ds:uri="e43ec466-17dd-4e2e-9db3-691f307955d0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E61A451-A43D-4D0B-9915-E5396B4E4D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3ec466-17dd-4e2e-9db3-691f307955d0"/>
    <ds:schemaRef ds:uri="733b19e0-a06d-4027-b1ef-a980ee54fc2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C37CC74-B5C2-4E69-A7ED-0634801FFA8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RAB RNR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Nana Supriatna</dc:creator>
  <cp:keywords/>
  <dc:description/>
  <cp:lastModifiedBy>Nur Chanifah</cp:lastModifiedBy>
  <cp:revision/>
  <cp:lastPrinted>2026-09-18T07:54:15Z</cp:lastPrinted>
  <dcterms:created xsi:type="dcterms:W3CDTF">2025-10-24T02:28:29Z</dcterms:created>
  <dcterms:modified xsi:type="dcterms:W3CDTF">2026-09-23T09:05:02Z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0x0101009528DBC71A144C42A5CE727BB9FD151C</vt:lpwstr>
  </property>
  <property fmtid="{D5CDD505-2E9C-101B-9397-08002B2CF9AE}" pid="3" name="MediaServiceImageTags">
    <vt:lpwstr/>
  </property>
</Properties>
</file>