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BL\Data EBL\"/>
    </mc:Choice>
  </mc:AlternateContent>
  <xr:revisionPtr revIDLastSave="0" documentId="13_ncr:1_{95C6AC6F-F473-40BB-9CC1-D2F3CDDFA308}" xr6:coauthVersionLast="47" xr6:coauthVersionMax="47" xr10:uidLastSave="{00000000-0000-0000-0000-000000000000}"/>
  <bookViews>
    <workbookView xWindow="-110" yWindow="-110" windowWidth="19420" windowHeight="10420" activeTab="0" xr2:uid="{78250874-BAB1-4F11-AA9B-88FD4B3FD9DB}"/>
  </bookViews>
  <sheets>
    <sheet name="RAB RNR" sheetId="1" r:id="rId2"/>
  </sheets>
  <definedNames>
    <definedName name="_xlnm.Print_Area" localSheetId="0">'RAB RNR'!$B$2:$J$34</definedName>
  </definedNames>
  <calcPr calcId="191029" fullCalcOnLoad="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<sst xmlns="http://schemas.openxmlformats.org/spreadsheetml/2006/main" count="613" uniqueCount="197">
  <si>
    <t>Hasnur Group</t>
  </si>
  <si>
    <t>Lokasi</t>
  </si>
  <si>
    <t>Periode</t>
  </si>
  <si>
    <t>Kepada</t>
  </si>
  <si>
    <t>Finance HO</t>
  </si>
  <si>
    <t>Up.</t>
  </si>
  <si>
    <t>No. RAB</t>
  </si>
  <si>
    <t>NO.</t>
  </si>
  <si>
    <t>Uraian</t>
  </si>
  <si>
    <t>Minggu I</t>
  </si>
  <si>
    <t>Minggu II</t>
  </si>
  <si>
    <t>Minggu III</t>
  </si>
  <si>
    <t>Minggu IV</t>
  </si>
  <si>
    <t>Total</t>
  </si>
  <si>
    <t>Keperluan ATK</t>
  </si>
  <si>
    <t>Keperluan BBM</t>
  </si>
  <si>
    <t>Kebutuhan Catering</t>
  </si>
  <si>
    <t>Keperluan Listrik PLN</t>
  </si>
  <si>
    <t>Keperluan Pantry</t>
  </si>
  <si>
    <t>Keperluan Upah KHL</t>
  </si>
  <si>
    <t>No</t>
  </si>
  <si>
    <t>Nama Barang/Jasa</t>
  </si>
  <si>
    <t>Qty</t>
  </si>
  <si>
    <t>Satuan</t>
  </si>
  <si>
    <t>Harga Satuan</t>
  </si>
  <si>
    <t>Total Harga</t>
  </si>
  <si>
    <t>Pack</t>
  </si>
  <si>
    <t>Grand Total</t>
  </si>
  <si>
    <t>BBM Honda CRF BG 2053 BBF</t>
  </si>
  <si>
    <t>BBM Toyota Hilux Vendor Bobby 1</t>
  </si>
  <si>
    <t>BBM Toyota Hilux Vendor Bobby 2</t>
  </si>
  <si>
    <t>BBM Toyota Hilux Vendor Bobby 3</t>
  </si>
  <si>
    <t>Karyawan</t>
  </si>
  <si>
    <t>KHL</t>
  </si>
  <si>
    <t>PPAD</t>
  </si>
  <si>
    <t>Nama</t>
  </si>
  <si>
    <t>Jml Hari</t>
  </si>
  <si>
    <t>Makan/Hari</t>
  </si>
  <si>
    <t>Per Meal</t>
  </si>
  <si>
    <t>Pak Widodo</t>
  </si>
  <si>
    <t>Bu Ijah</t>
  </si>
  <si>
    <t>Catering Staff (7 Orang)</t>
  </si>
  <si>
    <t>Haris</t>
  </si>
  <si>
    <t>Bu Suryani</t>
  </si>
  <si>
    <t>Catering KHL (3 Orang)</t>
  </si>
  <si>
    <t>Gautama</t>
  </si>
  <si>
    <t>KHL Security Mess</t>
  </si>
  <si>
    <t>Aceng</t>
  </si>
  <si>
    <t>Dimas</t>
  </si>
  <si>
    <t>Heri Setiawan</t>
  </si>
  <si>
    <t>Pengganti SHE</t>
  </si>
  <si>
    <t>Grantotal</t>
  </si>
  <si>
    <t>Biaya perjalanan dinas &amp; Cuti</t>
  </si>
  <si>
    <t>Bks</t>
  </si>
  <si>
    <t>Pembersih Kamar mandi</t>
  </si>
  <si>
    <t>btl</t>
  </si>
  <si>
    <t>Tissue</t>
  </si>
  <si>
    <t>pack</t>
  </si>
  <si>
    <t>Pengharum Ruangan</t>
  </si>
  <si>
    <t>pcs</t>
  </si>
  <si>
    <t>Trashbag</t>
  </si>
  <si>
    <t>Pembersih Lantai</t>
  </si>
  <si>
    <t>Kamper Kamar mandi</t>
  </si>
  <si>
    <t>bks</t>
  </si>
  <si>
    <t>Semprotan nyamuk</t>
  </si>
  <si>
    <t>Obat nyamuk bakar</t>
  </si>
  <si>
    <t>Sabun cuci piring</t>
  </si>
  <si>
    <t>Upah ART Bu Ijah (Mess &amp; Kantor Sungai Lilin)</t>
  </si>
  <si>
    <t>Orang</t>
  </si>
  <si>
    <t>Upah ART Bu Suryani (Mess Tritunggal 1)</t>
  </si>
  <si>
    <t>Upah KHL M. Nuh (Security Mess Sungai lilin)</t>
  </si>
  <si>
    <t>Desc. WBS</t>
  </si>
  <si>
    <t>: Site EBL - RANTAU</t>
  </si>
  <si>
    <t>Tanggal</t>
  </si>
  <si>
    <t>PT ENERGI BATUBARA LESTARI
RENCANA ANGGARAN BULANAN (RAB)
Departemen HCGA</t>
  </si>
  <si>
    <t>Keperluan ATK W1 Oktober 2026</t>
  </si>
  <si>
    <t>Keperluan ATK W2 Oktober 2026</t>
  </si>
  <si>
    <t>Keperluan ATK W3 Oktober 2026</t>
  </si>
  <si>
    <t>Keperluan ATK W4 Oktober 2026</t>
  </si>
  <si>
    <t>Keperluan Air PDAM</t>
  </si>
  <si>
    <t>Keperluan Telp &amp; Internet</t>
  </si>
  <si>
    <t>Keperluan Pengajian</t>
  </si>
  <si>
    <t>Keperluan ….....</t>
  </si>
  <si>
    <t>Keperluan BBM W1 Oktober 2026</t>
  </si>
  <si>
    <t>Keperluan BBM W2 Oktober 2026</t>
  </si>
  <si>
    <t>Keperluan BBM W3 Oktober 2026</t>
  </si>
  <si>
    <t>Keperluan BBM W4 Oktober 2026</t>
  </si>
  <si>
    <t>Keperluan Catering W1 Oktober 2026</t>
  </si>
  <si>
    <t>Keperluan Catering W2 Oktober 2026</t>
  </si>
  <si>
    <t>Keperluan Catering W3 Oktober 2026</t>
  </si>
  <si>
    <t>Keperluan Catering W4 Oktober 2026</t>
  </si>
  <si>
    <t>Lumpsum Cuti Periodik Karyawan</t>
  </si>
  <si>
    <t>orang</t>
  </si>
  <si>
    <t>Perjalanan Dinas Karyawan</t>
  </si>
  <si>
    <t>Keperluan HCGS W1 Oktober 2026</t>
  </si>
  <si>
    <t>Keperluan HCGS W2 Oktober 2026</t>
  </si>
  <si>
    <t>Keperluan HCGS W3 Oktober 2026</t>
  </si>
  <si>
    <t>Keperluan HCGS W4 Oktober 2026</t>
  </si>
  <si>
    <t>Keperluan Listrik PLN W1 Oktober 2026</t>
  </si>
  <si>
    <t>Keperluan Listrik PLN W2 Oktober 2026</t>
  </si>
  <si>
    <t>Keperluan Listrik PLN W3 Oktober 2026</t>
  </si>
  <si>
    <t>Keperluan Listrik PLN W4 Oktober 2026</t>
  </si>
  <si>
    <t>Listrik Stockpile EBL</t>
  </si>
  <si>
    <t>Listrik Mess Kupang</t>
  </si>
  <si>
    <t>Listrik Gudang Handak EBL</t>
  </si>
  <si>
    <t>Listrik Office 42</t>
  </si>
  <si>
    <t>Listrik Kantor &amp; Mess EBL</t>
  </si>
  <si>
    <t>Keperluan Pantry W1 Oktober 2026</t>
  </si>
  <si>
    <t>Keperluan Pantry W2 Oktober 2026</t>
  </si>
  <si>
    <t>Keperluan Pantry W3 Oktober 2026</t>
  </si>
  <si>
    <t>Keperluan Pantry W4 Oktober 2026</t>
  </si>
  <si>
    <t>Air Galon</t>
  </si>
  <si>
    <t>Galon</t>
  </si>
  <si>
    <t>galon</t>
  </si>
  <si>
    <t>Halaman :        1/1</t>
  </si>
  <si>
    <t>Air PDAM Stockpile EBL</t>
  </si>
  <si>
    <t>Air PDAM Mess Kupang</t>
  </si>
  <si>
    <t>Air PDAM Gudang Handak EBL</t>
  </si>
  <si>
    <t>Air PDAM Office 42</t>
  </si>
  <si>
    <t>Air PDAM Kantor &amp; Mess EBL</t>
  </si>
  <si>
    <t>Keperluan Air PDAM PLN W1 Oktober 2026</t>
  </si>
  <si>
    <t>Keperluan Air PDAM PLN W2 Oktober 2026</t>
  </si>
  <si>
    <t>Keperluan Air PDAM PLN W3 Oktober 2026</t>
  </si>
  <si>
    <t>Keperluan Air PDAM PLN W4 Oktober 2026</t>
  </si>
  <si>
    <t>Gas LPG</t>
  </si>
  <si>
    <t>tabung</t>
  </si>
  <si>
    <t>Disetujui Oleh,</t>
  </si>
  <si>
    <t>Operation &amp; HCA Director</t>
  </si>
  <si>
    <t>Rahmad Pudjotomo</t>
  </si>
  <si>
    <t>Tanggal :</t>
  </si>
  <si>
    <t>Keperluan KHL W1 Oktober 2026</t>
  </si>
  <si>
    <t>Keperluan KHL W2 Oktober 2026</t>
  </si>
  <si>
    <t>Keperluan KHL W3 Oktober 2026</t>
  </si>
  <si>
    <t>Keperluan KHL W4 Oktober 2026</t>
  </si>
  <si>
    <t>Keperluan Telp &amp; Internet W1 Oktober 2026</t>
  </si>
  <si>
    <t>Keperluan Telp &amp; Internet W2 Oktober 2026</t>
  </si>
  <si>
    <t>Keperluan Telp &amp; Internet W3 Oktober 2026</t>
  </si>
  <si>
    <t>Keperluan Telp &amp; Internet W4 Oktober 2026</t>
  </si>
  <si>
    <t>WBS Element</t>
  </si>
  <si>
    <t>Description</t>
  </si>
  <si>
    <t>AB3.11-06.02.15.04</t>
  </si>
  <si>
    <t>CSR/Divisi/Operational Expense</t>
  </si>
  <si>
    <t>AB3.11-06.02.15.02</t>
  </si>
  <si>
    <t>CSR/Divisi/Perjalanan Dinas</t>
  </si>
  <si>
    <t>AB3.11-06.02.15.01</t>
  </si>
  <si>
    <t>CSR/Divisi/Training</t>
  </si>
  <si>
    <t>AB3.11-06.02.12.04</t>
  </si>
  <si>
    <t>Gudang Handak/Divisi/Operational Expense</t>
  </si>
  <si>
    <t>AB3.11-06.02.12.02</t>
  </si>
  <si>
    <t>Gudang Handak/Divisi/Perjalanan Dinas</t>
  </si>
  <si>
    <t>AB3.11-06.02.12.01</t>
  </si>
  <si>
    <t>Gudang Handak/Divisi/Training</t>
  </si>
  <si>
    <t>AB3.11-06.02.10.04</t>
  </si>
  <si>
    <t>HRGS Site/Divisi/Operational Expense</t>
  </si>
  <si>
    <t>AB3.11-06.02.10.02</t>
  </si>
  <si>
    <t>HRGS Site/Divisi/Perjalanan Dinas</t>
  </si>
  <si>
    <t>AB3.11-06.02.10.01</t>
  </si>
  <si>
    <t>HRGS Site/Divisi/Training</t>
  </si>
  <si>
    <t>AB3.11-06.02.11.03</t>
  </si>
  <si>
    <t>Operation/Divisi/Konsultan/Eksternal</t>
  </si>
  <si>
    <t>AB3.11-06.02.11.04</t>
  </si>
  <si>
    <t>Operation/Divisi/Operational Expense</t>
  </si>
  <si>
    <t>AB3.11-06.02.11.05</t>
  </si>
  <si>
    <t>Operation/Divisi/Perizinan</t>
  </si>
  <si>
    <t>AB3.11-06.02.11.02</t>
  </si>
  <si>
    <t>Operation/Divisi/Perjalanan Dinas</t>
  </si>
  <si>
    <t>AB3.11-06.02.11.01</t>
  </si>
  <si>
    <t>Operation/Divisi/Training</t>
  </si>
  <si>
    <t>AB3.11-06.02.09.04</t>
  </si>
  <si>
    <t>PPIC/Divisi/Operational Expense</t>
  </si>
  <si>
    <t>AB3.11-06.02.09.02</t>
  </si>
  <si>
    <t>PPIC/Divisi/Perjalanan Dinas</t>
  </si>
  <si>
    <t>AB3.11-06.02.09.01</t>
  </si>
  <si>
    <t>PPIC/Divisi/Training</t>
  </si>
  <si>
    <t>AB3.11-06.02.22.04</t>
  </si>
  <si>
    <t>Revegetasi R&amp;R/Divisi/Operational Expens</t>
  </si>
  <si>
    <t>AB3.11-06.02.22.02</t>
  </si>
  <si>
    <t>Revegetasi R&amp;R/Divisi/Perjalanan Dinas</t>
  </si>
  <si>
    <t>AB3.11-06.02.22.01</t>
  </si>
  <si>
    <t>Revegetasi R&amp;R/Divisi/Training</t>
  </si>
  <si>
    <t>AB3.11-06.02.13.03</t>
  </si>
  <si>
    <t>SHE/Divisi/Konsultan/Eksternal</t>
  </si>
  <si>
    <t>AB3.11-06.02.13.04</t>
  </si>
  <si>
    <t>SHE/Divisi/Operational Expense</t>
  </si>
  <si>
    <t>AB3.11-06.02.13.05</t>
  </si>
  <si>
    <t>SHE/Divisi/Perizinan</t>
  </si>
  <si>
    <t>AB3.11-06.02.13.02</t>
  </si>
  <si>
    <t>SHE/Divisi/Perjalanan Dinas</t>
  </si>
  <si>
    <t>AB3.11-06.02.13.01</t>
  </si>
  <si>
    <t>SHE/Divisi/Training</t>
  </si>
  <si>
    <t>Kode WBS / Cost Center</t>
  </si>
  <si>
    <t>Perdin &amp; Cuti Karyawan</t>
  </si>
  <si>
    <t>Bulan : Oktober                                          Tahun : 2026</t>
  </si>
  <si>
    <t>jika total nilai &gt;25jt (Approval s/d Pak Rahmad)</t>
  </si>
  <si>
    <t>Pembayaran Indihome PT EBL ( Mess Kantor)</t>
  </si>
  <si>
    <t>Pembayaran Indihome PT EBL ( Mess Tahura)</t>
  </si>
  <si>
    <t>Pembayaran Telkom Speedy PT EBL (Kantor)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</si>
</sst>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[$Rp-421]* #,##0_);_([$Rp-421]* \(#,##0\);_([$Rp-421]* &quot;-&quot;??_);_(@_)"/>
    <numFmt numFmtId="166" formatCode="_(* #,##0_);_(* \(#,##0\);_(* &quot;-&quot;??_);_(@_)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36"/>
      <name val="Arial"/>
      <family val="2"/>
    </font>
    <font>
      <b/>
      <sz val="8"/>
      <color theme="4" tint="-0.249977111117893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0"/>
      <name val="Verdana"/>
      <family val="2"/>
    </font>
    <font>
      <b/>
      <sz val="10"/>
      <name val="Arial"/>
      <family val="2"/>
    </font>
    <font>
      <b/>
      <i/>
      <sz val="10"/>
      <name val="Verdana"/>
      <family val="2"/>
    </font>
    <font>
      <sz val="10"/>
      <name val="Verdana"/>
      <family val="2"/>
    </font>
    <font>
      <sz val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i/>
      <sz val="12"/>
      <name val="Aptos Narrow"/>
      <family val="2"/>
      <scheme val="minor"/>
    </font>
    <font>
      <b/>
      <sz val="14"/>
      <name val="Aptos Narrow"/>
      <family val="2"/>
      <scheme val="minor"/>
    </font>
    <font>
      <b/>
      <i/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0"/>
      <color rgb="FFFF0000"/>
      <name val="Arial"/>
      <family val="2"/>
    </font>
    <font>
      <b/>
      <sz val="16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5"/>
      <name val="Arial"/>
      <family val="2"/>
    </font>
    <font>
      <sz val="11"/>
      <color rgb="FF000000"/>
      <name val="Aptos Narrow"/>
      <family val="2"/>
      <scheme val="minor"/>
    </font>
    <font>
      <sz val="9"/>
      <color theme="1"/>
      <name val="Aptos Narrow (Body)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</cellStyleXfs>
  <cellXfs count="214">
    <xf numFmtId="0" fontId="0" fillId="0" borderId="0" xfId="0"/>
    <xf numFmtId="0" fontId="3" fillId="0" borderId="1" xfId="0" applyFont="1" applyBorder="1"/>
    <xf numFmtId="0" fontId="3" fillId="0" borderId="0" xfId="0" applyFont="1"/>
    <xf numFmtId="0" fontId="3" fillId="0" borderId="5" xfId="0" applyFont="1" applyBorder="1"/>
    <xf numFmtId="0" fontId="6" fillId="0" borderId="0" xfId="0" applyFont="1"/>
    <xf numFmtId="16" fontId="6" fillId="0" borderId="0" xfId="0" quotePrefix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left" vertical="center"/>
    </xf>
    <xf numFmtId="164" fontId="6" fillId="0" borderId="0" xfId="1" applyFont="1" applyFill="1" applyBorder="1" applyAlignment="1">
      <alignment horizontal="left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left" vertical="center"/>
    </xf>
    <xf numFmtId="0" fontId="6" fillId="0" borderId="38" xfId="0" applyFont="1" applyBorder="1" applyAlignment="1">
      <alignment vertical="center"/>
    </xf>
    <xf numFmtId="0" fontId="6" fillId="0" borderId="39" xfId="0" applyFont="1" applyBorder="1" applyAlignment="1">
      <alignment horizontal="left" vertical="center"/>
    </xf>
    <xf numFmtId="0" fontId="6" fillId="0" borderId="39" xfId="0" quotePrefix="1" applyFont="1" applyBorder="1" applyAlignment="1">
      <alignment horizontal="left" vertical="center"/>
    </xf>
    <xf numFmtId="0" fontId="6" fillId="0" borderId="39" xfId="0" applyFont="1" applyBorder="1" applyAlignment="1">
      <alignment horizontal="left" vertical="center" wrapText="1"/>
    </xf>
    <xf numFmtId="164" fontId="11" fillId="0" borderId="0" xfId="1" applyFont="1" applyFill="1" applyBorder="1" applyAlignment="1">
      <alignment horizontal="center" vertical="center"/>
    </xf>
    <xf numFmtId="0" fontId="12" fillId="0" borderId="0" xfId="2" applyFont="1"/>
    <xf numFmtId="0" fontId="12" fillId="0" borderId="47" xfId="2" applyFont="1" applyBorder="1" applyAlignment="1">
      <alignment horizontal="center" vertical="center"/>
    </xf>
    <xf numFmtId="0" fontId="12" fillId="0" borderId="48" xfId="2" applyFont="1" applyBorder="1"/>
    <xf numFmtId="0" fontId="12" fillId="0" borderId="48" xfId="2" applyFont="1" applyBorder="1" applyAlignment="1">
      <alignment horizontal="center"/>
    </xf>
    <xf numFmtId="166" fontId="12" fillId="0" borderId="48" xfId="3" applyNumberFormat="1" applyFont="1" applyBorder="1"/>
    <xf numFmtId="3" fontId="1" fillId="0" borderId="49" xfId="2" applyNumberFormat="1" applyFont="1" applyBorder="1" applyAlignment="1">
      <alignment vertical="center"/>
    </xf>
    <xf numFmtId="3" fontId="12" fillId="0" borderId="0" xfId="2" applyNumberFormat="1" applyFont="1"/>
    <xf numFmtId="0" fontId="14" fillId="0" borderId="48" xfId="2" applyFont="1" applyBorder="1" applyAlignment="1">
      <alignment horizontal="left"/>
    </xf>
    <xf numFmtId="166" fontId="14" fillId="0" borderId="48" xfId="3" applyNumberFormat="1" applyFont="1" applyFill="1" applyBorder="1"/>
    <xf numFmtId="0" fontId="12" fillId="0" borderId="48" xfId="2" applyFont="1" applyBorder="1" applyAlignment="1">
      <alignment horizontal="left"/>
    </xf>
    <xf numFmtId="0" fontId="14" fillId="0" borderId="50" xfId="2" applyFont="1" applyBorder="1" applyAlignment="1">
      <alignment horizontal="left"/>
    </xf>
    <xf numFmtId="0" fontId="12" fillId="0" borderId="50" xfId="2" applyFont="1" applyBorder="1" applyAlignment="1">
      <alignment horizontal="center"/>
    </xf>
    <xf numFmtId="166" fontId="14" fillId="0" borderId="50" xfId="3" applyNumberFormat="1" applyFont="1" applyFill="1" applyBorder="1"/>
    <xf numFmtId="3" fontId="1" fillId="0" borderId="51" xfId="2" applyNumberFormat="1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4" fillId="0" borderId="32" xfId="2" applyFont="1" applyBorder="1" applyAlignment="1">
      <alignment horizontal="left"/>
    </xf>
    <xf numFmtId="0" fontId="12" fillId="0" borderId="32" xfId="2" applyFont="1" applyBorder="1" applyAlignment="1">
      <alignment horizontal="center"/>
    </xf>
    <xf numFmtId="0" fontId="12" fillId="0" borderId="32" xfId="2" applyFont="1" applyBorder="1" applyAlignment="1">
      <alignment horizontal="left"/>
    </xf>
    <xf numFmtId="166" fontId="14" fillId="0" borderId="32" xfId="3" applyNumberFormat="1" applyFont="1" applyFill="1" applyBorder="1"/>
    <xf numFmtId="3" fontId="1" fillId="0" borderId="34" xfId="2" applyNumberFormat="1" applyFont="1" applyBorder="1" applyAlignment="1">
      <alignment vertical="center"/>
    </xf>
    <xf numFmtId="3" fontId="13" fillId="0" borderId="52" xfId="2" applyNumberFormat="1" applyFont="1" applyBorder="1" applyAlignment="1">
      <alignment vertical="center"/>
    </xf>
    <xf numFmtId="166" fontId="12" fillId="0" borderId="0" xfId="3" applyNumberFormat="1" applyFont="1"/>
    <xf numFmtId="164" fontId="12" fillId="0" borderId="0" xfId="3" applyFont="1" applyBorder="1" applyAlignment="1">
      <alignment horizontal="center"/>
    </xf>
    <xf numFmtId="164" fontId="12" fillId="0" borderId="0" xfId="3" applyFont="1" applyBorder="1"/>
    <xf numFmtId="0" fontId="2" fillId="0" borderId="0" xfId="2" applyFont="1" applyAlignment="1">
      <alignment horizont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/>
    </xf>
    <xf numFmtId="0" fontId="12" fillId="0" borderId="0" xfId="2" applyFont="1" applyAlignment="1">
      <alignment horizontal="left"/>
    </xf>
    <xf numFmtId="166" fontId="12" fillId="0" borderId="0" xfId="3" applyNumberFormat="1" applyFont="1" applyBorder="1"/>
    <xf numFmtId="3" fontId="2" fillId="0" borderId="0" xfId="2" applyNumberFormat="1" applyFont="1" applyAlignment="1">
      <alignment vertical="center"/>
    </xf>
    <xf numFmtId="3" fontId="16" fillId="2" borderId="52" xfId="2" applyNumberFormat="1" applyFont="1" applyFill="1" applyBorder="1" applyAlignment="1">
      <alignment vertical="center"/>
    </xf>
    <xf numFmtId="0" fontId="14" fillId="0" borderId="0" xfId="2" applyFont="1" applyAlignment="1">
      <alignment horizontal="left"/>
    </xf>
    <xf numFmtId="166" fontId="12" fillId="0" borderId="0" xfId="3" applyNumberFormat="1" applyFont="1" applyBorder="1" applyAlignment="1">
      <alignment horizontal="center"/>
    </xf>
    <xf numFmtId="166" fontId="14" fillId="0" borderId="0" xfId="3" applyNumberFormat="1" applyFont="1" applyFill="1" applyBorder="1"/>
    <xf numFmtId="0" fontId="14" fillId="0" borderId="0" xfId="2" applyFont="1" applyAlignment="1">
      <alignment horizontal="center"/>
    </xf>
    <xf numFmtId="0" fontId="18" fillId="0" borderId="0" xfId="2" applyFont="1"/>
    <xf numFmtId="3" fontId="18" fillId="0" borderId="0" xfId="2" applyNumberFormat="1" applyFont="1"/>
    <xf numFmtId="0" fontId="2" fillId="0" borderId="48" xfId="0" applyFont="1" applyBorder="1" applyAlignment="1">
      <alignment horizontal="center"/>
    </xf>
    <xf numFmtId="0" fontId="2" fillId="0" borderId="50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8" xfId="0" applyFont="1" applyBorder="1"/>
    <xf numFmtId="0" fontId="1" fillId="0" borderId="48" xfId="0" applyFont="1" applyBorder="1" applyAlignment="1">
      <alignment horizontal="center"/>
    </xf>
    <xf numFmtId="166" fontId="1" fillId="0" borderId="48" xfId="3" applyNumberFormat="1" applyFont="1" applyBorder="1"/>
    <xf numFmtId="166" fontId="1" fillId="0" borderId="48" xfId="3" applyNumberFormat="1" applyFont="1" applyFill="1" applyBorder="1"/>
    <xf numFmtId="166" fontId="1" fillId="0" borderId="48" xfId="0" applyNumberFormat="1" applyFont="1" applyBorder="1"/>
    <xf numFmtId="0" fontId="12" fillId="0" borderId="48" xfId="0" applyFont="1" applyBorder="1"/>
    <xf numFmtId="166" fontId="2" fillId="0" borderId="50" xfId="0" applyNumberFormat="1" applyFont="1" applyBorder="1" applyAlignment="1">
      <alignment horizontal="center"/>
    </xf>
    <xf numFmtId="166" fontId="2" fillId="0" borderId="50" xfId="0" applyNumberFormat="1" applyFont="1" applyBorder="1"/>
    <xf numFmtId="0" fontId="14" fillId="0" borderId="48" xfId="2" applyFont="1" applyBorder="1" applyAlignment="1">
      <alignment horizontal="center"/>
    </xf>
    <xf numFmtId="0" fontId="14" fillId="0" borderId="50" xfId="2" applyFont="1" applyBorder="1" applyAlignment="1">
      <alignment horizontal="center"/>
    </xf>
    <xf numFmtId="166" fontId="3" fillId="0" borderId="48" xfId="3" applyNumberFormat="1" applyFont="1" applyBorder="1"/>
    <xf numFmtId="0" fontId="0" fillId="0" borderId="48" xfId="0" applyBorder="1"/>
    <xf numFmtId="0" fontId="0" fillId="0" borderId="57" xfId="0" applyBorder="1"/>
    <xf numFmtId="0" fontId="1" fillId="0" borderId="56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50" xfId="0" applyFont="1" applyBorder="1"/>
    <xf numFmtId="166" fontId="12" fillId="0" borderId="0" xfId="1" applyNumberFormat="1" applyFont="1"/>
    <xf numFmtId="166" fontId="12" fillId="0" borderId="0" xfId="2" applyNumberFormat="1" applyFont="1"/>
    <xf numFmtId="0" fontId="20" fillId="0" borderId="28" xfId="0" applyFont="1" applyBorder="1" applyAlignment="1">
      <alignment horizontal="left" vertical="center"/>
    </xf>
    <xf numFmtId="0" fontId="20" fillId="0" borderId="28" xfId="0" applyFont="1" applyBorder="1" applyAlignment="1">
      <alignment horizontal="center" vertical="center"/>
    </xf>
    <xf numFmtId="166" fontId="20" fillId="0" borderId="28" xfId="3" applyNumberFormat="1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66" fontId="20" fillId="0" borderId="48" xfId="3" applyNumberFormat="1" applyFont="1" applyBorder="1" applyAlignment="1">
      <alignment horizontal="center" vertical="center"/>
    </xf>
    <xf numFmtId="0" fontId="21" fillId="0" borderId="48" xfId="0" applyFont="1" applyBorder="1"/>
    <xf numFmtId="0" fontId="20" fillId="0" borderId="48" xfId="2" applyFont="1" applyBorder="1" applyAlignment="1">
      <alignment horizontal="left"/>
    </xf>
    <xf numFmtId="0" fontId="21" fillId="0" borderId="48" xfId="2" applyFont="1" applyBorder="1" applyAlignment="1">
      <alignment horizontal="center"/>
    </xf>
    <xf numFmtId="166" fontId="20" fillId="0" borderId="48" xfId="3" applyNumberFormat="1" applyFont="1" applyFill="1" applyBorder="1"/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9" xfId="0" applyFont="1" applyBorder="1" applyAlignment="1">
      <alignment horizontal="left"/>
    </xf>
    <xf numFmtId="0" fontId="6" fillId="0" borderId="9" xfId="0" applyFont="1" applyBorder="1"/>
    <xf numFmtId="165" fontId="6" fillId="0" borderId="36" xfId="0" applyNumberFormat="1" applyFont="1" applyBorder="1" applyAlignment="1">
      <alignment vertical="center"/>
    </xf>
    <xf numFmtId="165" fontId="6" fillId="0" borderId="38" xfId="0" applyNumberFormat="1" applyFont="1" applyBorder="1" applyAlignment="1">
      <alignment vertical="center"/>
    </xf>
    <xf numFmtId="165" fontId="6" fillId="0" borderId="38" xfId="1" applyNumberFormat="1" applyFont="1" applyFill="1" applyBorder="1" applyAlignment="1">
      <alignment vertical="center"/>
    </xf>
    <xf numFmtId="165" fontId="6" fillId="0" borderId="39" xfId="0" applyNumberFormat="1" applyFont="1" applyBorder="1" applyAlignment="1">
      <alignment vertical="center"/>
    </xf>
    <xf numFmtId="0" fontId="6" fillId="0" borderId="1" xfId="0" applyFont="1" applyBorder="1"/>
    <xf numFmtId="0" fontId="6" fillId="0" borderId="2" xfId="0" applyFont="1" applyBorder="1"/>
    <xf numFmtId="0" fontId="6" fillId="0" borderId="21" xfId="0" applyFont="1" applyBorder="1"/>
    <xf numFmtId="0" fontId="6" fillId="0" borderId="22" xfId="0" applyFont="1" applyBorder="1"/>
    <xf numFmtId="0" fontId="6" fillId="0" borderId="23" xfId="0" applyFont="1" applyBorder="1" applyAlignment="1">
      <alignment vertical="center"/>
    </xf>
    <xf numFmtId="0" fontId="6" fillId="0" borderId="57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5" xfId="0" applyFont="1" applyBorder="1"/>
    <xf numFmtId="0" fontId="6" fillId="0" borderId="8" xfId="0" applyFont="1" applyBorder="1"/>
    <xf numFmtId="0" fontId="4" fillId="0" borderId="0" xfId="0" applyFont="1" applyAlignment="1">
      <alignment vertical="center"/>
    </xf>
    <xf numFmtId="0" fontId="23" fillId="0" borderId="2" xfId="0" applyFont="1" applyBorder="1" applyAlignment="1">
      <alignment vertical="center" wrapText="1"/>
    </xf>
    <xf numFmtId="0" fontId="3" fillId="0" borderId="3" xfId="0" applyFont="1" applyBorder="1"/>
    <xf numFmtId="0" fontId="3" fillId="0" borderId="6" xfId="0" applyFont="1" applyBorder="1"/>
    <xf numFmtId="0" fontId="3" fillId="0" borderId="10" xfId="0" applyFont="1" applyBorder="1"/>
    <xf numFmtId="0" fontId="6" fillId="0" borderId="3" xfId="0" applyFont="1" applyBorder="1" applyAlignment="1">
      <alignment horizontal="center"/>
    </xf>
    <xf numFmtId="0" fontId="6" fillId="0" borderId="10" xfId="0" applyFont="1" applyBorder="1" applyAlignment="1">
      <alignment horizontal="left"/>
    </xf>
    <xf numFmtId="0" fontId="6" fillId="0" borderId="64" xfId="0" applyFont="1" applyBorder="1"/>
    <xf numFmtId="0" fontId="6" fillId="0" borderId="65" xfId="0" applyFont="1" applyBorder="1"/>
    <xf numFmtId="0" fontId="6" fillId="0" borderId="68" xfId="0" applyFont="1" applyBorder="1"/>
    <xf numFmtId="0" fontId="6" fillId="0" borderId="69" xfId="0" applyFont="1" applyBorder="1"/>
    <xf numFmtId="165" fontId="9" fillId="0" borderId="4" xfId="1" applyNumberFormat="1" applyFont="1" applyFill="1" applyBorder="1" applyAlignment="1">
      <alignment vertical="center"/>
    </xf>
    <xf numFmtId="165" fontId="9" fillId="0" borderId="7" xfId="1" applyNumberFormat="1" applyFont="1" applyFill="1" applyBorder="1" applyAlignment="1">
      <alignment vertical="center"/>
    </xf>
    <xf numFmtId="0" fontId="27" fillId="0" borderId="0" xfId="0" applyFont="1" applyAlignment="1">
      <alignment horizontal="center" vertical="center"/>
    </xf>
    <xf numFmtId="0" fontId="28" fillId="0" borderId="48" xfId="0" applyFont="1" applyBorder="1" applyAlignment="1">
      <alignment horizontal="center"/>
    </xf>
    <xf numFmtId="0" fontId="29" fillId="0" borderId="54" xfId="0" applyFont="1" applyBorder="1"/>
    <xf numFmtId="0" fontId="29" fillId="0" borderId="72" xfId="0" applyFont="1" applyBorder="1" applyAlignment="1">
      <alignment horizontal="center"/>
    </xf>
    <xf numFmtId="0" fontId="29" fillId="0" borderId="48" xfId="0" applyFont="1" applyBorder="1"/>
    <xf numFmtId="0" fontId="28" fillId="0" borderId="50" xfId="0" applyFont="1" applyBorder="1" applyAlignment="1">
      <alignment horizontal="center"/>
    </xf>
    <xf numFmtId="0" fontId="0" fillId="3" borderId="0" xfId="0" applyFill="1"/>
    <xf numFmtId="0" fontId="0" fillId="4" borderId="48" xfId="0" applyFill="1" applyBorder="1" applyAlignment="1">
      <alignment horizontal="center"/>
    </xf>
    <xf numFmtId="0" fontId="8" fillId="0" borderId="30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65" fontId="10" fillId="0" borderId="70" xfId="0" applyNumberFormat="1" applyFont="1" applyBorder="1" applyAlignment="1">
      <alignment horizontal="center" vertical="center" wrapText="1"/>
    </xf>
    <xf numFmtId="0" fontId="9" fillId="0" borderId="71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165" fontId="10" fillId="0" borderId="41" xfId="0" applyNumberFormat="1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/>
    </xf>
    <xf numFmtId="0" fontId="6" fillId="0" borderId="25" xfId="0" applyFont="1" applyBorder="1" applyAlignment="1">
      <alignment horizontal="left"/>
    </xf>
    <xf numFmtId="0" fontId="6" fillId="0" borderId="24" xfId="0" applyFont="1" applyBorder="1" applyAlignment="1">
      <alignment horizontal="left"/>
    </xf>
    <xf numFmtId="0" fontId="8" fillId="0" borderId="27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66" xfId="0" applyFont="1" applyBorder="1" applyAlignment="1">
      <alignment horizontal="left" vertical="center"/>
    </xf>
    <xf numFmtId="0" fontId="7" fillId="0" borderId="67" xfId="0" applyFont="1" applyBorder="1" applyAlignment="1">
      <alignment horizontal="left" vertical="center"/>
    </xf>
    <xf numFmtId="0" fontId="6" fillId="0" borderId="6" xfId="0" applyFont="1" applyBorder="1" applyAlignment="1">
      <alignment horizontal="center"/>
    </xf>
    <xf numFmtId="0" fontId="7" fillId="0" borderId="73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62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63" xfId="0" applyFont="1" applyBorder="1" applyAlignment="1">
      <alignment horizontal="left" vertic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20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2" fillId="0" borderId="0" xfId="2" applyFont="1" applyAlignment="1">
      <alignment horizontal="center" vertical="center"/>
    </xf>
    <xf numFmtId="0" fontId="17" fillId="0" borderId="0" xfId="2" applyFont="1" applyAlignment="1">
      <alignment horizontal="right" vertical="center" wrapText="1" indent="1"/>
    </xf>
    <xf numFmtId="0" fontId="16" fillId="2" borderId="44" xfId="2" applyFont="1" applyFill="1" applyBorder="1" applyAlignment="1">
      <alignment horizontal="center" vertical="center"/>
    </xf>
    <xf numFmtId="0" fontId="16" fillId="2" borderId="45" xfId="2" applyFont="1" applyFill="1" applyBorder="1" applyAlignment="1">
      <alignment horizontal="center" vertical="center"/>
    </xf>
    <xf numFmtId="0" fontId="16" fillId="2" borderId="46" xfId="2" applyFont="1" applyFill="1" applyBorder="1" applyAlignment="1">
      <alignment horizontal="center" vertical="center"/>
    </xf>
    <xf numFmtId="0" fontId="2" fillId="0" borderId="0" xfId="2" applyFont="1" applyAlignment="1">
      <alignment horizontal="left"/>
    </xf>
    <xf numFmtId="0" fontId="15" fillId="0" borderId="44" xfId="2" applyFont="1" applyBorder="1" applyAlignment="1">
      <alignment horizontal="center" vertical="center" wrapText="1"/>
    </xf>
    <xf numFmtId="0" fontId="15" fillId="0" borderId="45" xfId="2" applyFont="1" applyBorder="1" applyAlignment="1">
      <alignment horizontal="center" vertical="center" wrapText="1"/>
    </xf>
    <xf numFmtId="0" fontId="13" fillId="0" borderId="44" xfId="2" applyFont="1" applyBorder="1" applyAlignment="1">
      <alignment horizontal="center" vertical="center"/>
    </xf>
    <xf numFmtId="0" fontId="13" fillId="0" borderId="45" xfId="2" applyFont="1" applyBorder="1" applyAlignment="1">
      <alignment horizontal="center" vertical="center"/>
    </xf>
    <xf numFmtId="0" fontId="13" fillId="0" borderId="46" xfId="2" applyFont="1" applyBorder="1" applyAlignment="1">
      <alignment horizontal="center" vertical="center"/>
    </xf>
    <xf numFmtId="0" fontId="2" fillId="0" borderId="27" xfId="2" applyFont="1" applyBorder="1" applyAlignment="1">
      <alignment horizontal="center" vertical="center"/>
    </xf>
    <xf numFmtId="0" fontId="2" fillId="0" borderId="31" xfId="2" applyFont="1" applyBorder="1" applyAlignment="1">
      <alignment horizontal="center" vertical="center"/>
    </xf>
    <xf numFmtId="0" fontId="2" fillId="0" borderId="28" xfId="2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30" xfId="2" applyFont="1" applyBorder="1" applyAlignment="1">
      <alignment horizontal="center" vertical="center"/>
    </xf>
    <xf numFmtId="0" fontId="2" fillId="0" borderId="34" xfId="2" applyFont="1" applyBorder="1" applyAlignment="1">
      <alignment horizontal="center" vertical="center"/>
    </xf>
    <xf numFmtId="0" fontId="24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 vertical="center"/>
    </xf>
    <xf numFmtId="0" fontId="25" fillId="0" borderId="22" xfId="2" applyFont="1" applyBorder="1" applyAlignment="1">
      <alignment horizontal="center" vertical="center"/>
    </xf>
    <xf numFmtId="0" fontId="2" fillId="0" borderId="56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19" fillId="0" borderId="59" xfId="0" applyFont="1" applyBorder="1" applyAlignment="1">
      <alignment horizontal="center" vertical="center"/>
    </xf>
    <xf numFmtId="0" fontId="19" fillId="0" borderId="60" xfId="0" applyFont="1" applyBorder="1" applyAlignment="1">
      <alignment horizontal="center" vertical="center"/>
    </xf>
    <xf numFmtId="0" fontId="19" fillId="0" borderId="61" xfId="0" applyFont="1" applyBorder="1" applyAlignment="1">
      <alignment horizontal="center" vertical="center"/>
    </xf>
    <xf numFmtId="166" fontId="19" fillId="0" borderId="44" xfId="0" applyNumberFormat="1" applyFont="1" applyBorder="1" applyAlignment="1">
      <alignment horizontal="center" vertical="center"/>
    </xf>
    <xf numFmtId="166" fontId="19" fillId="0" borderId="45" xfId="0" applyNumberFormat="1" applyFont="1" applyBorder="1" applyAlignment="1">
      <alignment horizontal="center" vertical="center"/>
    </xf>
    <xf numFmtId="166" fontId="19" fillId="0" borderId="46" xfId="0" applyNumberFormat="1" applyFont="1" applyBorder="1" applyAlignment="1">
      <alignment horizontal="center" vertical="center"/>
    </xf>
    <xf numFmtId="0" fontId="2" fillId="0" borderId="53" xfId="2" applyFont="1" applyBorder="1" applyAlignment="1">
      <alignment horizontal="center" vertical="center"/>
    </xf>
    <xf numFmtId="0" fontId="2" fillId="0" borderId="54" xfId="2" applyFont="1" applyBorder="1" applyAlignment="1">
      <alignment horizontal="center" vertical="center"/>
    </xf>
    <xf numFmtId="0" fontId="2" fillId="0" borderId="55" xfId="2" applyFont="1" applyBorder="1" applyAlignment="1">
      <alignment horizontal="center" vertical="center"/>
    </xf>
    <xf numFmtId="0" fontId="13" fillId="0" borderId="44" xfId="2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2" fillId="0" borderId="15" xfId="0" applyFont="1" applyBorder="1" applyAlignment="1">
      <alignment horizontal="center"/>
    </xf>
  </cellXfs>
  <cellStyles count="4">
    <cellStyle name="Comma" xfId="1" builtinId="3"/>
    <cellStyle name="Comma 2" xfId="3" xr:uid="{DCF73D0C-DC4E-43D1-A15A-3766A5C728D5}"/>
    <cellStyle name="Normal" xfId="0" builtinId="0"/>
    <cellStyle name="Normal 2" xfId="2" xr:uid="{1E13BBE9-E98E-4983-B1B6-45976AA351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9" Type="http://schemas.openxmlformats.org/officeDocument/2006/relationships/customXml" Target="../customXml/item3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147864</xdr:colOff>
      <xdr:row>1</xdr:row>
      <xdr:rowOff>48624</xdr:rowOff>
    </xdr:from>
    <xdr:to>
      <xdr:col>2</xdr:col>
      <xdr:colOff>709439</xdr:colOff>
      <xdr:row>4</xdr:row>
      <xdr:rowOff>52635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336C2B-8FAD-E53E-00A0-F2F86B0F8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221" y="239124"/>
          <a:ext cx="561575" cy="548297"/>
        </a:xfrm>
        <a:prstGeom prst="rect">
          <a:avLst/>
        </a:prstGeom>
      </xdr:spPr>
    </xdr:pic>
    <xdr:clientData/>
  </xdr:twoCellAnchor>
  <xdr:twoCellAnchor>
    <xdr:from>
      <xdr:col>2</xdr:col>
      <xdr:colOff>53340</xdr:colOff>
      <xdr:row>2</xdr:row>
      <xdr:rowOff>175260</xdr:rowOff>
    </xdr:from>
    <xdr:to>
      <xdr:col>8</xdr:col>
      <xdr:colOff>1493520</xdr:colOff>
      <xdr:row>4</xdr:row>
      <xdr:rowOff>182880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7892A40D-2C13-4B37-8EE2-61B9A1638521}"/>
            </a:ext>
          </a:extLst>
        </xdr:cNvPr>
        <xdr:cNvSpPr/>
      </xdr:nvSpPr>
      <xdr:spPr>
        <a:xfrm>
          <a:off x="1272540" y="548640"/>
          <a:ext cx="9380220" cy="373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D" sz="2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15437</xdr:colOff>
      <xdr:row>8</xdr:row>
      <xdr:rowOff>149453</xdr:rowOff>
    </xdr:from>
    <xdr:to>
      <xdr:col>8</xdr:col>
      <xdr:colOff>931608</xdr:colOff>
      <xdr:row>15</xdr:row>
      <xdr:rowOff>72004</xdr:rowOff>
    </xdr:to>
    <xdr:grpSp>
      <xdr:nvGrpSpPr>
        <xdr:cNvPr id="1039" name="Group 1038">
          <a:extLst>
            <a:ext uri="{FF2B5EF4-FFF2-40B4-BE49-F238E27FC236}">
              <a16:creationId xmlns:a16="http://schemas.microsoft.com/office/drawing/2014/main" id="{30B68D3E-BDD1-A499-B466-1F512679299E}"/>
            </a:ext>
          </a:extLst>
        </xdr:cNvPr>
        <xdr:cNvGrpSpPr/>
      </xdr:nvGrpSpPr>
      <xdr:grpSpPr>
        <a:xfrm>
          <a:off x="4542080" y="1637167"/>
          <a:ext cx="7139171" cy="1455623"/>
          <a:chOff x="9304579" y="1936524"/>
          <a:chExt cx="7139171" cy="1301408"/>
        </a:xfrm>
      </xdr:grpSpPr>
      <xdr:grpSp>
        <xdr:nvGrpSpPr>
          <xdr:cNvPr id="60" name="Group 59">
            <a:extLst>
              <a:ext uri="{FF2B5EF4-FFF2-40B4-BE49-F238E27FC236}">
                <a16:creationId xmlns:a16="http://schemas.microsoft.com/office/drawing/2014/main" id="{A1C5354E-AE9F-B187-4EF4-9442639F7C7E}"/>
              </a:ext>
            </a:extLst>
          </xdr:cNvPr>
          <xdr:cNvGrpSpPr/>
        </xdr:nvGrpSpPr>
        <xdr:grpSpPr>
          <a:xfrm>
            <a:off x="9304579" y="1936524"/>
            <a:ext cx="7139171" cy="1301408"/>
            <a:chOff x="4933546" y="1699271"/>
            <a:chExt cx="7128007" cy="1319551"/>
          </a:xfrm>
        </xdr:grpSpPr>
        <xdr:grpSp>
          <xdr:nvGrpSpPr>
            <xdr:cNvPr id="56" name="Group 55">
              <a:extLst>
                <a:ext uri="{FF2B5EF4-FFF2-40B4-BE49-F238E27FC236}">
                  <a16:creationId xmlns:a16="http://schemas.microsoft.com/office/drawing/2014/main" id="{33FA1FB4-CA8E-FB4D-1247-AB5CA4AC0084}"/>
                </a:ext>
              </a:extLst>
            </xdr:cNvPr>
            <xdr:cNvGrpSpPr/>
          </xdr:nvGrpSpPr>
          <xdr:grpSpPr>
            <a:xfrm>
              <a:off x="4933546" y="1699271"/>
              <a:ext cx="7125875" cy="1319551"/>
              <a:chOff x="4938430" y="1704155"/>
              <a:chExt cx="7125875" cy="1319551"/>
            </a:xfrm>
          </xdr:grpSpPr>
          <xdr:cxnSp macro="">
            <xdr:nvCxnSpPr>
              <xdr:cNvPr id="35" name="Straight Connector 34">
                <a:extLst>
                  <a:ext uri="{FF2B5EF4-FFF2-40B4-BE49-F238E27FC236}">
                    <a16:creationId xmlns:a16="http://schemas.microsoft.com/office/drawing/2014/main" id="{C0E953AE-14A9-4474-BE73-FA10679F7CEF}"/>
                  </a:ext>
                </a:extLst>
              </xdr:cNvPr>
              <xdr:cNvCxnSpPr/>
            </xdr:nvCxnSpPr>
            <xdr:spPr>
              <a:xfrm>
                <a:off x="10296769" y="1738923"/>
                <a:ext cx="0" cy="277028"/>
              </a:xfrm>
              <a:prstGeom prst="line">
                <a:avLst/>
              </a:prstGeom>
              <a:ln w="9525">
                <a:solidFill>
                  <a:sysClr val="windowText" lastClr="00000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grpSp>
            <xdr:nvGrpSpPr>
              <xdr:cNvPr id="51" name="Group 50">
                <a:extLst>
                  <a:ext uri="{FF2B5EF4-FFF2-40B4-BE49-F238E27FC236}">
                    <a16:creationId xmlns:a16="http://schemas.microsoft.com/office/drawing/2014/main" id="{3C171D4D-2AE5-9728-6A6D-8D4243DA3EF8}"/>
                  </a:ext>
                </a:extLst>
              </xdr:cNvPr>
              <xdr:cNvGrpSpPr/>
            </xdr:nvGrpSpPr>
            <xdr:grpSpPr>
              <a:xfrm>
                <a:off x="4938430" y="1704155"/>
                <a:ext cx="7125875" cy="1319551"/>
                <a:chOff x="4419963" y="1941407"/>
                <a:chExt cx="7137039" cy="1301408"/>
              </a:xfrm>
            </xdr:grpSpPr>
            <xdr:grpSp>
              <xdr:nvGrpSpPr>
                <xdr:cNvPr id="40" name="Group 39">
                  <a:extLst>
                    <a:ext uri="{FF2B5EF4-FFF2-40B4-BE49-F238E27FC236}">
                      <a16:creationId xmlns:a16="http://schemas.microsoft.com/office/drawing/2014/main" id="{73C24AB1-5B25-9663-12B4-DEDE86B2F00F}"/>
                    </a:ext>
                  </a:extLst>
                </xdr:cNvPr>
                <xdr:cNvGrpSpPr/>
              </xdr:nvGrpSpPr>
              <xdr:grpSpPr>
                <a:xfrm>
                  <a:off x="4419963" y="1941407"/>
                  <a:ext cx="7137039" cy="1301408"/>
                  <a:chOff x="8607332" y="1496904"/>
                  <a:chExt cx="10270310" cy="1210694"/>
                </a:xfrm>
              </xdr:grpSpPr>
              <xdr:sp macro="" textlink="">
                <xdr:nvSpPr>
                  <xdr:cNvPr id="4" name="Rectangle 3">
                    <a:extLst>
                      <a:ext uri="{FF2B5EF4-FFF2-40B4-BE49-F238E27FC236}">
                        <a16:creationId xmlns:a16="http://schemas.microsoft.com/office/drawing/2014/main" id="{7564E30D-ADC3-FA74-2F10-9104B841A5D1}"/>
                      </a:ext>
                    </a:extLst>
                  </xdr:cNvPr>
                  <xdr:cNvSpPr/>
                </xdr:nvSpPr>
                <xdr:spPr>
                  <a:xfrm>
                    <a:off x="8607333" y="1537636"/>
                    <a:ext cx="2575780" cy="1101817"/>
                  </a:xfrm>
                  <a:prstGeom prst="rect">
                    <a:avLst/>
                  </a:prstGeom>
                  <a:noFill/>
                  <a:ln w="9525"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ID" sz="1100"/>
                  </a:p>
                </xdr:txBody>
              </xdr:sp>
              <xdr:sp macro="" textlink="">
                <xdr:nvSpPr>
                  <xdr:cNvPr id="5" name="Rectangle 4">
                    <a:extLst>
                      <a:ext uri="{FF2B5EF4-FFF2-40B4-BE49-F238E27FC236}">
                        <a16:creationId xmlns:a16="http://schemas.microsoft.com/office/drawing/2014/main" id="{8A87A87D-1653-0989-A526-C694857572B7}"/>
                      </a:ext>
                    </a:extLst>
                  </xdr:cNvPr>
                  <xdr:cNvSpPr/>
                </xdr:nvSpPr>
                <xdr:spPr>
                  <a:xfrm>
                    <a:off x="11183114" y="1537636"/>
                    <a:ext cx="2575780" cy="1101817"/>
                  </a:xfrm>
                  <a:prstGeom prst="rect">
                    <a:avLst/>
                  </a:prstGeom>
                  <a:noFill/>
                  <a:ln w="9525"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ID" sz="1100"/>
                  </a:p>
                </xdr:txBody>
              </xdr:sp>
              <xdr:sp macro="" textlink="">
                <xdr:nvSpPr>
                  <xdr:cNvPr id="6" name="Rectangle 5">
                    <a:extLst>
                      <a:ext uri="{FF2B5EF4-FFF2-40B4-BE49-F238E27FC236}">
                        <a16:creationId xmlns:a16="http://schemas.microsoft.com/office/drawing/2014/main" id="{AD8F23DD-C457-9BC6-F967-BD7573FB7D55}"/>
                      </a:ext>
                    </a:extLst>
                  </xdr:cNvPr>
                  <xdr:cNvSpPr/>
                </xdr:nvSpPr>
                <xdr:spPr>
                  <a:xfrm>
                    <a:off x="13758893" y="1720401"/>
                    <a:ext cx="2569392" cy="919050"/>
                  </a:xfrm>
                  <a:prstGeom prst="rect">
                    <a:avLst/>
                  </a:prstGeom>
                  <a:noFill/>
                  <a:ln w="9525"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ID" sz="1100"/>
                  </a:p>
                </xdr:txBody>
              </xdr:sp>
              <xdr:sp macro="" textlink="">
                <xdr:nvSpPr>
                  <xdr:cNvPr id="7" name="Rectangle 6">
                    <a:extLst>
                      <a:ext uri="{FF2B5EF4-FFF2-40B4-BE49-F238E27FC236}">
                        <a16:creationId xmlns:a16="http://schemas.microsoft.com/office/drawing/2014/main" id="{419786AD-37CC-1CC9-7B57-518AB67F504A}"/>
                      </a:ext>
                    </a:extLst>
                  </xdr:cNvPr>
                  <xdr:cNvSpPr/>
                </xdr:nvSpPr>
                <xdr:spPr>
                  <a:xfrm>
                    <a:off x="8607333" y="1537636"/>
                    <a:ext cx="2575780" cy="182766"/>
                  </a:xfrm>
                  <a:prstGeom prst="rect">
                    <a:avLst/>
                  </a:prstGeom>
                  <a:noFill/>
                  <a:ln w="9525"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ID" sz="1100"/>
                  </a:p>
                </xdr:txBody>
              </xdr:sp>
              <xdr:sp macro="" textlink="">
                <xdr:nvSpPr>
                  <xdr:cNvPr id="8" name="Rectangle 7">
                    <a:extLst>
                      <a:ext uri="{FF2B5EF4-FFF2-40B4-BE49-F238E27FC236}">
                        <a16:creationId xmlns:a16="http://schemas.microsoft.com/office/drawing/2014/main" id="{65694E51-DF16-144E-DCF4-C64EC030E6A0}"/>
                      </a:ext>
                    </a:extLst>
                  </xdr:cNvPr>
                  <xdr:cNvSpPr/>
                </xdr:nvSpPr>
                <xdr:spPr>
                  <a:xfrm>
                    <a:off x="11183114" y="1537636"/>
                    <a:ext cx="2575780" cy="182766"/>
                  </a:xfrm>
                  <a:prstGeom prst="rect">
                    <a:avLst/>
                  </a:prstGeom>
                  <a:noFill/>
                  <a:ln w="9525"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ID" sz="1100"/>
                  </a:p>
                </xdr:txBody>
              </xdr:sp>
              <xdr:sp macro="" textlink="">
                <xdr:nvSpPr>
                  <xdr:cNvPr id="9" name="Rectangle 8">
                    <a:extLst>
                      <a:ext uri="{FF2B5EF4-FFF2-40B4-BE49-F238E27FC236}">
                        <a16:creationId xmlns:a16="http://schemas.microsoft.com/office/drawing/2014/main" id="{DF7FE455-311F-0581-8F26-C31E1E276787}"/>
                      </a:ext>
                    </a:extLst>
                  </xdr:cNvPr>
                  <xdr:cNvSpPr/>
                </xdr:nvSpPr>
                <xdr:spPr>
                  <a:xfrm>
                    <a:off x="13758893" y="1537636"/>
                    <a:ext cx="5118749" cy="182766"/>
                  </a:xfrm>
                  <a:prstGeom prst="rect">
                    <a:avLst/>
                  </a:prstGeom>
                  <a:noFill/>
                  <a:ln w="9525"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ID" sz="1100"/>
                  </a:p>
                </xdr:txBody>
              </xdr:sp>
              <xdr:sp macro="" textlink="">
                <xdr:nvSpPr>
                  <xdr:cNvPr id="10" name="Rectangle 9">
                    <a:extLst>
                      <a:ext uri="{FF2B5EF4-FFF2-40B4-BE49-F238E27FC236}">
                        <a16:creationId xmlns:a16="http://schemas.microsoft.com/office/drawing/2014/main" id="{2DD2DCA3-C6C7-C4E0-E2D3-C4712F9FF7CA}"/>
                      </a:ext>
                    </a:extLst>
                  </xdr:cNvPr>
                  <xdr:cNvSpPr/>
                </xdr:nvSpPr>
                <xdr:spPr>
                  <a:xfrm>
                    <a:off x="8607332" y="2456685"/>
                    <a:ext cx="2575780" cy="181721"/>
                  </a:xfrm>
                  <a:prstGeom prst="rect">
                    <a:avLst/>
                  </a:prstGeom>
                  <a:noFill/>
                  <a:ln w="9525"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ID" sz="1100"/>
                  </a:p>
                </xdr:txBody>
              </xdr:sp>
              <xdr:sp macro="" textlink="">
                <xdr:nvSpPr>
                  <xdr:cNvPr id="11" name="Rectangle 10">
                    <a:extLst>
                      <a:ext uri="{FF2B5EF4-FFF2-40B4-BE49-F238E27FC236}">
                        <a16:creationId xmlns:a16="http://schemas.microsoft.com/office/drawing/2014/main" id="{7636564C-0617-D6DB-D2F6-B255448721F9}"/>
                      </a:ext>
                    </a:extLst>
                  </xdr:cNvPr>
                  <xdr:cNvSpPr/>
                </xdr:nvSpPr>
                <xdr:spPr>
                  <a:xfrm>
                    <a:off x="9407274" y="1501083"/>
                    <a:ext cx="975898" cy="28746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ctr"/>
                    <a:r>
                      <a:rPr lang="en-ID" sz="1100">
                        <a:solidFill>
                          <a:sysClr val="windowText" lastClr="000000"/>
                        </a:solidFill>
                      </a:rPr>
                      <a:t>Dibuat Oleh,</a:t>
                    </a:r>
                  </a:p>
                </xdr:txBody>
              </xdr:sp>
              <xdr:sp macro="" textlink="">
                <xdr:nvSpPr>
                  <xdr:cNvPr id="12" name="Rectangle 11">
                    <a:extLst>
                      <a:ext uri="{FF2B5EF4-FFF2-40B4-BE49-F238E27FC236}">
                        <a16:creationId xmlns:a16="http://schemas.microsoft.com/office/drawing/2014/main" id="{6F1011CD-2617-3326-AFFA-2CD582F0BA53}"/>
                      </a:ext>
                    </a:extLst>
                  </xdr:cNvPr>
                  <xdr:cNvSpPr/>
                </xdr:nvSpPr>
                <xdr:spPr>
                  <a:xfrm>
                    <a:off x="11762956" y="1502127"/>
                    <a:ext cx="1430669" cy="28746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ctr"/>
                    <a:r>
                      <a:rPr lang="en-ID" sz="1100">
                        <a:solidFill>
                          <a:sysClr val="windowText" lastClr="000000"/>
                        </a:solidFill>
                      </a:rPr>
                      <a:t>Diverifikasi Oleh,</a:t>
                    </a:r>
                  </a:p>
                </xdr:txBody>
              </xdr:sp>
              <xdr:sp macro="" textlink="">
                <xdr:nvSpPr>
                  <xdr:cNvPr id="13" name="Rectangle 12">
                    <a:extLst>
                      <a:ext uri="{FF2B5EF4-FFF2-40B4-BE49-F238E27FC236}">
                        <a16:creationId xmlns:a16="http://schemas.microsoft.com/office/drawing/2014/main" id="{8A99CA47-AA87-A8DB-48D8-4124E9396373}"/>
                      </a:ext>
                    </a:extLst>
                  </xdr:cNvPr>
                  <xdr:cNvSpPr/>
                </xdr:nvSpPr>
                <xdr:spPr>
                  <a:xfrm>
                    <a:off x="14351172" y="1496904"/>
                    <a:ext cx="1753011" cy="24916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r>
                      <a:rPr lang="en-ID" sz="1100">
                        <a:solidFill>
                          <a:sysClr val="windowText" lastClr="000000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Disetujui Oleh,</a:t>
                    </a:r>
                    <a:endParaRPr lang="en-ID">
                      <a:solidFill>
                        <a:sysClr val="windowText" lastClr="000000"/>
                      </a:solidFill>
                      <a:effectLst/>
                    </a:endParaRPr>
                  </a:p>
                </xdr:txBody>
              </xdr:sp>
              <xdr:sp macro="" textlink="">
                <xdr:nvSpPr>
                  <xdr:cNvPr id="14" name="Rectangle 13">
                    <a:extLst>
                      <a:ext uri="{FF2B5EF4-FFF2-40B4-BE49-F238E27FC236}">
                        <a16:creationId xmlns:a16="http://schemas.microsoft.com/office/drawing/2014/main" id="{398C4427-E096-C600-BE6A-A2A511536D63}"/>
                      </a:ext>
                    </a:extLst>
                  </xdr:cNvPr>
                  <xdr:cNvSpPr/>
                </xdr:nvSpPr>
                <xdr:spPr>
                  <a:xfrm>
                    <a:off x="11185730" y="2456686"/>
                    <a:ext cx="2575780" cy="181721"/>
                  </a:xfrm>
                  <a:prstGeom prst="rect">
                    <a:avLst/>
                  </a:prstGeom>
                  <a:noFill/>
                  <a:ln w="9525"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ID" sz="1100"/>
                  </a:p>
                </xdr:txBody>
              </xdr:sp>
              <xdr:sp macro="" textlink="">
                <xdr:nvSpPr>
                  <xdr:cNvPr id="15" name="Rectangle 14">
                    <a:extLst>
                      <a:ext uri="{FF2B5EF4-FFF2-40B4-BE49-F238E27FC236}">
                        <a16:creationId xmlns:a16="http://schemas.microsoft.com/office/drawing/2014/main" id="{539E023C-045B-484C-29C0-F81CCAB978D8}"/>
                      </a:ext>
                    </a:extLst>
                  </xdr:cNvPr>
                  <xdr:cNvSpPr/>
                </xdr:nvSpPr>
                <xdr:spPr>
                  <a:xfrm>
                    <a:off x="13761509" y="2456686"/>
                    <a:ext cx="2566776" cy="181721"/>
                  </a:xfrm>
                  <a:prstGeom prst="rect">
                    <a:avLst/>
                  </a:prstGeom>
                  <a:noFill/>
                  <a:ln w="9525"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ID" sz="1100"/>
                  </a:p>
                </xdr:txBody>
              </xdr:sp>
              <xdr:sp macro="" textlink="">
                <xdr:nvSpPr>
                  <xdr:cNvPr id="16" name="Rectangle 15">
                    <a:extLst>
                      <a:ext uri="{FF2B5EF4-FFF2-40B4-BE49-F238E27FC236}">
                        <a16:creationId xmlns:a16="http://schemas.microsoft.com/office/drawing/2014/main" id="{9B13FC45-FEB5-D000-177D-9168EEA66EC3}"/>
                      </a:ext>
                    </a:extLst>
                  </xdr:cNvPr>
                  <xdr:cNvSpPr/>
                </xdr:nvSpPr>
                <xdr:spPr>
                  <a:xfrm>
                    <a:off x="16328287" y="2456686"/>
                    <a:ext cx="2549355" cy="181721"/>
                  </a:xfrm>
                  <a:prstGeom prst="rect">
                    <a:avLst/>
                  </a:prstGeom>
                  <a:noFill/>
                  <a:ln w="9525"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ID" sz="1100"/>
                  </a:p>
                </xdr:txBody>
              </xdr:sp>
              <xdr:sp macro="" textlink="">
                <xdr:nvSpPr>
                  <xdr:cNvPr id="17" name="Rectangle 16">
                    <a:extLst>
                      <a:ext uri="{FF2B5EF4-FFF2-40B4-BE49-F238E27FC236}">
                        <a16:creationId xmlns:a16="http://schemas.microsoft.com/office/drawing/2014/main" id="{11296174-607F-1AC4-1C07-E130D883DDD4}"/>
                      </a:ext>
                    </a:extLst>
                  </xdr:cNvPr>
                  <xdr:cNvSpPr/>
                </xdr:nvSpPr>
                <xdr:spPr>
                  <a:xfrm>
                    <a:off x="9041394" y="2252511"/>
                    <a:ext cx="1739969" cy="21491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ctr"/>
                    <a:r>
                      <a:rPr lang="en-ID" sz="1100">
                        <a:solidFill>
                          <a:sysClr val="windowText" lastClr="000000"/>
                        </a:solidFill>
                      </a:rPr>
                      <a:t>M. Yusriani</a:t>
                    </a:r>
                  </a:p>
                </xdr:txBody>
              </xdr:sp>
              <xdr:sp macro="" textlink="">
                <xdr:nvSpPr>
                  <xdr:cNvPr id="19" name="Rectangle 18">
                    <a:extLst>
                      <a:ext uri="{FF2B5EF4-FFF2-40B4-BE49-F238E27FC236}">
                        <a16:creationId xmlns:a16="http://schemas.microsoft.com/office/drawing/2014/main" id="{F6E803B8-DA5E-BDA7-1610-55503E957C4F}"/>
                      </a:ext>
                    </a:extLst>
                  </xdr:cNvPr>
                  <xdr:cNvSpPr/>
                </xdr:nvSpPr>
                <xdr:spPr>
                  <a:xfrm>
                    <a:off x="13764461" y="2243675"/>
                    <a:ext cx="2535532" cy="23659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ctr"/>
                    <a:r>
                      <a:rPr lang="en-ID" sz="1100">
                        <a:solidFill>
                          <a:sysClr val="windowText" lastClr="000000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Bambang</a:t>
                    </a:r>
                    <a:r>
                      <a:rPr lang="en-ID" sz="1100" baseline="0">
                        <a:solidFill>
                          <a:sysClr val="windowText" lastClr="000000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 Octaryono</a:t>
                    </a:r>
                    <a:endParaRPr lang="en-ID">
                      <a:solidFill>
                        <a:sysClr val="windowText" lastClr="000000"/>
                      </a:solidFill>
                      <a:effectLst/>
                    </a:endParaRPr>
                  </a:p>
                </xdr:txBody>
              </xdr:sp>
              <xdr:sp macro="" textlink="">
                <xdr:nvSpPr>
                  <xdr:cNvPr id="20" name="Rectangle 19">
                    <a:extLst>
                      <a:ext uri="{FF2B5EF4-FFF2-40B4-BE49-F238E27FC236}">
                        <a16:creationId xmlns:a16="http://schemas.microsoft.com/office/drawing/2014/main" id="{3BBD76A2-EF8D-C1FB-A411-45E71F033C75}"/>
                      </a:ext>
                    </a:extLst>
                  </xdr:cNvPr>
                  <xdr:cNvSpPr/>
                </xdr:nvSpPr>
                <xdr:spPr>
                  <a:xfrm>
                    <a:off x="16555531" y="2260082"/>
                    <a:ext cx="2191567" cy="25784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ctr"/>
                    <a:r>
                      <a:rPr lang="en-ID" sz="1100">
                        <a:solidFill>
                          <a:sysClr val="windowText" lastClr="000000"/>
                        </a:solidFill>
                      </a:rPr>
                      <a:t>Cecep H. Setiadi</a:t>
                    </a:r>
                  </a:p>
                </xdr:txBody>
              </xdr:sp>
              <xdr:sp macro="" textlink="">
                <xdr:nvSpPr>
                  <xdr:cNvPr id="21" name="Rectangle 20">
                    <a:extLst>
                      <a:ext uri="{FF2B5EF4-FFF2-40B4-BE49-F238E27FC236}">
                        <a16:creationId xmlns:a16="http://schemas.microsoft.com/office/drawing/2014/main" id="{46126565-DED3-8243-C804-590D9538CB48}"/>
                      </a:ext>
                    </a:extLst>
                  </xdr:cNvPr>
                  <xdr:cNvSpPr/>
                </xdr:nvSpPr>
                <xdr:spPr>
                  <a:xfrm>
                    <a:off x="9238865" y="1666355"/>
                    <a:ext cx="1312716" cy="28981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ctr"/>
                    <a:endParaRPr lang="en-ID" sz="1100">
                      <a:solidFill>
                        <a:sysClr val="windowText" lastClr="000000"/>
                      </a:solidFill>
                    </a:endParaRPr>
                  </a:p>
                </xdr:txBody>
              </xdr:sp>
              <xdr:sp macro="" textlink="">
                <xdr:nvSpPr>
                  <xdr:cNvPr id="22" name="Rectangle 21">
                    <a:extLst>
                      <a:ext uri="{FF2B5EF4-FFF2-40B4-BE49-F238E27FC236}">
                        <a16:creationId xmlns:a16="http://schemas.microsoft.com/office/drawing/2014/main" id="{E3199677-58DC-0DF3-130C-F593EDA74987}"/>
                      </a:ext>
                    </a:extLst>
                  </xdr:cNvPr>
                  <xdr:cNvSpPr/>
                </xdr:nvSpPr>
                <xdr:spPr>
                  <a:xfrm>
                    <a:off x="11544323" y="1691673"/>
                    <a:ext cx="1936021" cy="299129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ctr"/>
                    <a:r>
                      <a:rPr lang="en-ID" sz="1100">
                        <a:solidFill>
                          <a:sysClr val="windowText" lastClr="000000"/>
                        </a:solidFill>
                      </a:rPr>
                      <a:t>Finance</a:t>
                    </a:r>
                    <a:r>
                      <a:rPr lang="en-ID" sz="1100" baseline="0">
                        <a:solidFill>
                          <a:sysClr val="windowText" lastClr="000000"/>
                        </a:solidFill>
                      </a:rPr>
                      <a:t> Site</a:t>
                    </a:r>
                    <a:endParaRPr lang="en-ID" sz="1100">
                      <a:solidFill>
                        <a:sysClr val="windowText" lastClr="000000"/>
                      </a:solidFill>
                    </a:endParaRPr>
                  </a:p>
                </xdr:txBody>
              </xdr:sp>
              <xdr:sp macro="" textlink="">
                <xdr:nvSpPr>
                  <xdr:cNvPr id="23" name="Rectangle 22">
                    <a:extLst>
                      <a:ext uri="{FF2B5EF4-FFF2-40B4-BE49-F238E27FC236}">
                        <a16:creationId xmlns:a16="http://schemas.microsoft.com/office/drawing/2014/main" id="{97B11845-13A2-3487-8C66-4DAC78EFCBE4}"/>
                      </a:ext>
                    </a:extLst>
                  </xdr:cNvPr>
                  <xdr:cNvSpPr/>
                </xdr:nvSpPr>
                <xdr:spPr>
                  <a:xfrm>
                    <a:off x="14273120" y="1666355"/>
                    <a:ext cx="1540066" cy="28981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ctr"/>
                    <a:r>
                      <a:rPr lang="en-ID" sz="1100" baseline="0">
                        <a:solidFill>
                          <a:sysClr val="windowText" lastClr="000000"/>
                        </a:solidFill>
                      </a:rPr>
                      <a:t>Pimpinan Site</a:t>
                    </a:r>
                    <a:endParaRPr lang="en-ID" sz="1100">
                      <a:solidFill>
                        <a:sysClr val="windowText" lastClr="000000"/>
                      </a:solidFill>
                    </a:endParaRPr>
                  </a:p>
                </xdr:txBody>
              </xdr:sp>
              <xdr:sp macro="" textlink="">
                <xdr:nvSpPr>
                  <xdr:cNvPr id="24" name="Rectangle 23">
                    <a:extLst>
                      <a:ext uri="{FF2B5EF4-FFF2-40B4-BE49-F238E27FC236}">
                        <a16:creationId xmlns:a16="http://schemas.microsoft.com/office/drawing/2014/main" id="{EA7B00B7-AA65-BEB5-7154-638A0996E269}"/>
                      </a:ext>
                    </a:extLst>
                  </xdr:cNvPr>
                  <xdr:cNvSpPr/>
                </xdr:nvSpPr>
                <xdr:spPr>
                  <a:xfrm>
                    <a:off x="16649304" y="1683234"/>
                    <a:ext cx="1935127" cy="316007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ctr"/>
                    <a:r>
                      <a:rPr lang="en-ID" sz="1100">
                        <a:solidFill>
                          <a:sysClr val="windowText" lastClr="000000"/>
                        </a:solidFill>
                      </a:rPr>
                      <a:t>Eng</a:t>
                    </a:r>
                    <a:r>
                      <a:rPr lang="en-ID" sz="1100" baseline="0">
                        <a:solidFill>
                          <a:sysClr val="windowText" lastClr="000000"/>
                        </a:solidFill>
                      </a:rPr>
                      <a:t> &amp; Opr. Div Head</a:t>
                    </a:r>
                    <a:endParaRPr lang="en-ID" sz="1100">
                      <a:solidFill>
                        <a:sysClr val="windowText" lastClr="000000"/>
                      </a:solidFill>
                    </a:endParaRPr>
                  </a:p>
                </xdr:txBody>
              </xdr:sp>
              <xdr:sp macro="" textlink="">
                <xdr:nvSpPr>
                  <xdr:cNvPr id="26" name="Rectangle 25">
                    <a:extLst>
                      <a:ext uri="{FF2B5EF4-FFF2-40B4-BE49-F238E27FC236}">
                        <a16:creationId xmlns:a16="http://schemas.microsoft.com/office/drawing/2014/main" id="{2D7E6681-BBC9-73C1-E45C-3C7A7399814B}"/>
                      </a:ext>
                    </a:extLst>
                  </xdr:cNvPr>
                  <xdr:cNvSpPr/>
                </xdr:nvSpPr>
                <xdr:spPr>
                  <a:xfrm>
                    <a:off x="11132591" y="2412561"/>
                    <a:ext cx="1312716" cy="28746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r>
                      <a:rPr lang="en-ID" sz="1100">
                        <a:solidFill>
                          <a:sysClr val="windowText" lastClr="000000"/>
                        </a:solidFill>
                      </a:rPr>
                      <a:t>Tanggal :</a:t>
                    </a:r>
                  </a:p>
                </xdr:txBody>
              </xdr:sp>
              <xdr:sp macro="" textlink="">
                <xdr:nvSpPr>
                  <xdr:cNvPr id="27" name="Rectangle 26">
                    <a:extLst>
                      <a:ext uri="{FF2B5EF4-FFF2-40B4-BE49-F238E27FC236}">
                        <a16:creationId xmlns:a16="http://schemas.microsoft.com/office/drawing/2014/main" id="{219FEF1B-4E2A-359F-9052-E3273F595BA5}"/>
                      </a:ext>
                    </a:extLst>
                  </xdr:cNvPr>
                  <xdr:cNvSpPr/>
                </xdr:nvSpPr>
                <xdr:spPr>
                  <a:xfrm>
                    <a:off x="13699950" y="2420133"/>
                    <a:ext cx="2201640" cy="28746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r>
                      <a:rPr lang="en-ID" sz="1100">
                        <a:solidFill>
                          <a:sysClr val="windowText" lastClr="000000"/>
                        </a:solidFill>
                      </a:rPr>
                      <a:t>Tanggal : </a:t>
                    </a:r>
                  </a:p>
                </xdr:txBody>
              </xdr:sp>
              <xdr:sp macro="" textlink="">
                <xdr:nvSpPr>
                  <xdr:cNvPr id="28" name="Rectangle 27">
                    <a:extLst>
                      <a:ext uri="{FF2B5EF4-FFF2-40B4-BE49-F238E27FC236}">
                        <a16:creationId xmlns:a16="http://schemas.microsoft.com/office/drawing/2014/main" id="{F083B597-653D-4C59-B7C9-F8CB483F9482}"/>
                      </a:ext>
                    </a:extLst>
                  </xdr:cNvPr>
                  <xdr:cNvSpPr/>
                </xdr:nvSpPr>
                <xdr:spPr>
                  <a:xfrm>
                    <a:off x="16249597" y="2412561"/>
                    <a:ext cx="1312716" cy="28746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r>
                      <a:rPr lang="en-ID" sz="1100">
                        <a:solidFill>
                          <a:sysClr val="windowText" lastClr="000000"/>
                        </a:solidFill>
                      </a:rPr>
                      <a:t>Tanggal :</a:t>
                    </a:r>
                  </a:p>
                </xdr:txBody>
              </xdr:sp>
            </xdr:grpSp>
            <xdr:sp macro="" textlink="">
              <xdr:nvSpPr>
                <xdr:cNvPr id="36" name="Rectangle 35">
                  <a:extLst>
                    <a:ext uri="{FF2B5EF4-FFF2-40B4-BE49-F238E27FC236}">
                      <a16:creationId xmlns:a16="http://schemas.microsoft.com/office/drawing/2014/main" id="{71ED4DC6-652A-41FA-A6F4-111D2B42E097}"/>
                    </a:ext>
                  </a:extLst>
                </xdr:cNvPr>
                <xdr:cNvSpPr/>
              </xdr:nvSpPr>
              <xdr:spPr>
                <a:xfrm>
                  <a:off x="9779000" y="1948542"/>
                  <a:ext cx="1750785" cy="29210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r>
                    <a:rPr lang="en-ID" sz="1100">
                      <a:solidFill>
                        <a:sysClr val="windowText" lastClr="000000"/>
                      </a:solidFill>
                    </a:rPr>
                    <a:t>Disetujui Oleh,</a:t>
                  </a:r>
                </a:p>
              </xdr:txBody>
            </xdr:sp>
          </xdr:grpSp>
        </xdr:grpSp>
        <xdr:cxnSp macro="">
          <xdr:nvCxnSpPr>
            <xdr:cNvPr id="58" name="Straight Connector 57">
              <a:extLst>
                <a:ext uri="{FF2B5EF4-FFF2-40B4-BE49-F238E27FC236}">
                  <a16:creationId xmlns:a16="http://schemas.microsoft.com/office/drawing/2014/main" id="{6128AF2A-2180-917B-31CB-6DB65CBA14E9}"/>
                </a:ext>
              </a:extLst>
            </xdr:cNvPr>
            <xdr:cNvCxnSpPr/>
          </xdr:nvCxnSpPr>
          <xdr:spPr>
            <a:xfrm flipH="1">
              <a:off x="12054536" y="1937630"/>
              <a:ext cx="7017" cy="901865"/>
            </a:xfrm>
            <a:prstGeom prst="line">
              <a:avLst/>
            </a:prstGeom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037" name="Rectangle 1036">
            <a:extLst>
              <a:ext uri="{FF2B5EF4-FFF2-40B4-BE49-F238E27FC236}">
                <a16:creationId xmlns:a16="http://schemas.microsoft.com/office/drawing/2014/main" id="{9D03C463-6770-4242-BF78-D5B83793EFC1}"/>
              </a:ext>
            </a:extLst>
          </xdr:cNvPr>
          <xdr:cNvSpPr/>
        </xdr:nvSpPr>
        <xdr:spPr>
          <a:xfrm>
            <a:off x="9524999" y="2149927"/>
            <a:ext cx="1345378" cy="32154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050">
                <a:solidFill>
                  <a:sysClr val="windowText" lastClr="000000"/>
                </a:solidFill>
              </a:rPr>
              <a:t>HCA Sect. Head</a:t>
            </a:r>
          </a:p>
        </xdr:txBody>
      </xdr:sp>
    </xdr:grpSp>
    <xdr:clientData/>
  </xdr:twoCellAnchor>
  <xdr:twoCellAnchor>
    <xdr:from>
      <xdr:col>4</xdr:col>
      <xdr:colOff>1823357</xdr:colOff>
      <xdr:row>12</xdr:row>
      <xdr:rowOff>326572</xdr:rowOff>
    </xdr:from>
    <xdr:to>
      <xdr:col>5</xdr:col>
      <xdr:colOff>1308419</xdr:colOff>
      <xdr:row>14</xdr:row>
      <xdr:rowOff>3246</xdr:rowOff>
    </xdr:to>
    <xdr:sp macro="" textlink="">
      <xdr:nvSpPr>
        <xdr:cNvPr id="1047" name="Rectangle 1046">
          <a:extLst>
            <a:ext uri="{FF2B5EF4-FFF2-40B4-BE49-F238E27FC236}">
              <a16:creationId xmlns:a16="http://schemas.microsoft.com/office/drawing/2014/main" id="{1847D8F4-D788-4806-865A-D92135B165CA}"/>
            </a:ext>
          </a:extLst>
        </xdr:cNvPr>
        <xdr:cNvSpPr/>
      </xdr:nvSpPr>
      <xdr:spPr>
        <a:xfrm>
          <a:off x="6350000" y="2549072"/>
          <a:ext cx="1761990" cy="2844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Azmi</a:t>
          </a:r>
          <a:r>
            <a:rPr lang="en-ID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Rahmadi &amp; M. Yusriani</a:t>
          </a:r>
          <a:endParaRPr lang="en-ID">
            <a:solidFill>
              <a:sysClr val="windowText" lastClr="000000"/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64A4-056D-45BA-8DD9-C929F462CEB5}">
  <sheetPr codeName="Sheet15">
    <pageSetUpPr fitToPage="1"/>
  </sheetPr>
  <dimension ref="A1:AB34"/>
  <sheetViews>
    <sheetView showGridLines="0" tabSelected="1" zoomScale="70" zoomScaleNormal="70" workbookViewId="0">
      <selection activeCell="M21" sqref="M21"/>
    </sheetView>
  </sheetViews>
  <sheetFormatPr defaultColWidth="0" defaultRowHeight="14.5"/>
  <cols>
    <col min="1" max="1" width="8.81640625" customWidth="1"/>
    <col min="2" max="2" width="4.54296875" customWidth="1"/>
    <col min="3" max="3" width="17.54296875" customWidth="1"/>
    <col min="4" max="4" width="33.90625" customWidth="1"/>
    <col min="5" max="5" width="32.54296875" customWidth="1"/>
    <col min="6" max="9" width="18.81640625" customWidth="1"/>
    <col min="10" max="10" width="18.90625" customWidth="1"/>
    <col min="11" max="11" width="1.26953125" customWidth="1"/>
    <col min="12" max="13" width="8.81640625" customWidth="1"/>
    <col min="14" max="14" width="24.36328125" customWidth="1"/>
    <col min="15" max="23" width="8.81640625" customWidth="1"/>
    <col min="24" max="28" width="0" hidden="1" customWidth="1"/>
    <col min="29" max="16384" width="8.81640625" hidden="1"/>
  </cols>
  <sheetData>
    <row r="1" spans="2:16" ht="15" thickBot="1"/>
    <row r="2" spans="2:16" ht="14.5" customHeight="1">
      <c r="B2" s="1"/>
      <c r="C2" s="107"/>
      <c r="D2" s="155" t="s">
        <v>74</v>
      </c>
      <c r="E2" s="156"/>
      <c r="F2" s="156"/>
      <c r="G2" s="156"/>
      <c r="H2" s="156"/>
      <c r="I2" s="156"/>
      <c r="J2" s="108"/>
      <c r="K2" s="2"/>
    </row>
    <row r="3" spans="2:16" ht="14.5" customHeight="1">
      <c r="B3" s="3"/>
      <c r="C3" s="106"/>
      <c r="D3" s="157"/>
      <c r="E3" s="158"/>
      <c r="F3" s="158"/>
      <c r="G3" s="158"/>
      <c r="H3" s="158"/>
      <c r="I3" s="158"/>
      <c r="J3" s="109"/>
      <c r="K3" s="2"/>
    </row>
    <row r="4" spans="2:16" ht="14.5" customHeight="1">
      <c r="B4" s="3"/>
      <c r="C4" s="106"/>
      <c r="D4" s="157"/>
      <c r="E4" s="158"/>
      <c r="F4" s="158"/>
      <c r="G4" s="158"/>
      <c r="H4" s="158"/>
      <c r="I4" s="158"/>
      <c r="J4" s="109"/>
      <c r="K4" s="2"/>
    </row>
    <row r="5" spans="2:16" ht="15" customHeight="1" thickBot="1">
      <c r="B5" s="153" t="s">
        <v>0</v>
      </c>
      <c r="C5" s="154"/>
      <c r="D5" s="159"/>
      <c r="E5" s="160"/>
      <c r="F5" s="160"/>
      <c r="G5" s="160"/>
      <c r="H5" s="160"/>
      <c r="I5" s="160"/>
      <c r="J5" s="110"/>
      <c r="K5" s="2"/>
    </row>
    <row r="6" spans="2:16" ht="15" thickBot="1">
      <c r="B6" s="4"/>
      <c r="C6" s="4"/>
      <c r="D6" s="4"/>
      <c r="E6" s="4"/>
      <c r="F6" s="4"/>
      <c r="G6" s="4"/>
      <c r="H6" s="4"/>
      <c r="I6" s="4"/>
      <c r="J6" s="4"/>
      <c r="K6" s="4"/>
    </row>
    <row r="7" spans="2:16">
      <c r="B7" s="161" t="s">
        <v>1</v>
      </c>
      <c r="C7" s="162"/>
      <c r="D7" s="163"/>
      <c r="E7" s="171" t="s">
        <v>72</v>
      </c>
      <c r="F7" s="172"/>
      <c r="G7" s="167" t="s">
        <v>2</v>
      </c>
      <c r="H7" s="168"/>
      <c r="I7" s="168"/>
      <c r="J7" s="169" t="s">
        <v>114</v>
      </c>
      <c r="K7" s="5"/>
    </row>
    <row r="8" spans="2:16" ht="15" thickBot="1">
      <c r="B8" s="164"/>
      <c r="C8" s="165"/>
      <c r="D8" s="166"/>
      <c r="E8" s="173"/>
      <c r="F8" s="174"/>
      <c r="G8" s="211" t="s">
        <v>192</v>
      </c>
      <c r="H8" s="212"/>
      <c r="I8" s="213"/>
      <c r="J8" s="170"/>
      <c r="K8" s="6"/>
    </row>
    <row r="9" spans="2:16" ht="15" thickBot="1">
      <c r="B9" s="2"/>
      <c r="C9" s="2"/>
      <c r="D9" s="2"/>
      <c r="E9" s="2"/>
      <c r="F9" s="2"/>
      <c r="G9" s="2"/>
      <c r="H9" s="2"/>
      <c r="I9" s="2"/>
      <c r="J9" s="109"/>
      <c r="K9" s="2"/>
      <c r="N9" s="125" t="s">
        <v>193</v>
      </c>
      <c r="O9" s="125"/>
      <c r="P9" s="125"/>
    </row>
    <row r="10" spans="2:16">
      <c r="B10" s="96" t="s">
        <v>3</v>
      </c>
      <c r="C10" s="97"/>
      <c r="D10" s="113" t="s">
        <v>4</v>
      </c>
      <c r="E10" s="88"/>
      <c r="F10" s="175"/>
      <c r="G10" s="175"/>
      <c r="H10" s="176"/>
      <c r="I10" s="177"/>
      <c r="J10" s="111"/>
      <c r="K10" s="7"/>
      <c r="N10" s="120" t="s">
        <v>126</v>
      </c>
      <c r="O10" s="152"/>
    </row>
    <row r="11" spans="2:16">
      <c r="B11" s="98" t="s">
        <v>5</v>
      </c>
      <c r="C11" s="99"/>
      <c r="D11" s="114"/>
      <c r="E11" s="7"/>
      <c r="F11" s="148"/>
      <c r="G11" s="148"/>
      <c r="H11" s="148"/>
      <c r="I11" s="148"/>
      <c r="J11" s="89"/>
      <c r="K11" s="7"/>
      <c r="N11" s="124" t="s">
        <v>127</v>
      </c>
      <c r="O11" s="152"/>
    </row>
    <row r="12" spans="2:16">
      <c r="B12" s="100" t="s">
        <v>6</v>
      </c>
      <c r="C12" s="101"/>
      <c r="D12" s="149"/>
      <c r="E12" s="148"/>
      <c r="F12" s="148"/>
      <c r="G12" s="148"/>
      <c r="H12" s="148"/>
      <c r="I12" s="148"/>
      <c r="J12" s="151"/>
      <c r="K12" s="7"/>
      <c r="N12" s="121"/>
    </row>
    <row r="13" spans="2:16" ht="33.5" customHeight="1">
      <c r="B13" s="102"/>
      <c r="C13" s="103"/>
      <c r="D13" s="150"/>
      <c r="E13" s="148"/>
      <c r="F13" s="148"/>
      <c r="G13" s="148"/>
      <c r="H13" s="148"/>
      <c r="I13" s="148"/>
      <c r="J13" s="151"/>
      <c r="K13" s="7"/>
      <c r="N13" s="121"/>
    </row>
    <row r="14" spans="2:16">
      <c r="B14" s="104" t="s">
        <v>73</v>
      </c>
      <c r="C14" s="4"/>
      <c r="D14" s="115"/>
      <c r="E14" s="148"/>
      <c r="F14" s="148"/>
      <c r="G14" s="148"/>
      <c r="H14" s="148"/>
      <c r="I14" s="148"/>
      <c r="J14" s="151"/>
      <c r="K14" s="7"/>
      <c r="N14" s="122" t="s">
        <v>128</v>
      </c>
    </row>
    <row r="15" spans="2:16" ht="15" thickBot="1">
      <c r="B15" s="105"/>
      <c r="C15" s="91"/>
      <c r="D15" s="116"/>
      <c r="E15" s="90"/>
      <c r="F15" s="139"/>
      <c r="G15" s="139"/>
      <c r="H15" s="140"/>
      <c r="I15" s="141"/>
      <c r="J15" s="112"/>
      <c r="K15" s="8"/>
      <c r="N15" s="123" t="s">
        <v>129</v>
      </c>
    </row>
    <row r="16" spans="2:16" ht="15" thickBot="1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5">
      <c r="B17" s="142" t="s">
        <v>7</v>
      </c>
      <c r="C17" s="144" t="s">
        <v>190</v>
      </c>
      <c r="D17" s="129" t="s">
        <v>71</v>
      </c>
      <c r="E17" s="129" t="s">
        <v>8</v>
      </c>
      <c r="F17" s="146" t="s">
        <v>9</v>
      </c>
      <c r="G17" s="146" t="s">
        <v>10</v>
      </c>
      <c r="H17" s="146" t="s">
        <v>11</v>
      </c>
      <c r="I17" s="146" t="s">
        <v>12</v>
      </c>
      <c r="J17" s="127" t="s">
        <v>13</v>
      </c>
      <c r="K17" s="9"/>
    </row>
    <row r="18" spans="2:15" ht="15" thickBot="1">
      <c r="B18" s="143"/>
      <c r="C18" s="145"/>
      <c r="D18" s="130"/>
      <c r="E18" s="130"/>
      <c r="F18" s="147"/>
      <c r="G18" s="147"/>
      <c r="H18" s="147"/>
      <c r="I18" s="147"/>
      <c r="J18" s="128"/>
      <c r="K18" s="9"/>
    </row>
    <row r="19" spans="2:15" ht="17.649999999999999" customHeight="1">
      <c r="B19" s="10">
        <v>1</v>
      </c>
      <c r="C19" s="14"/>
      <c r="D19" t="e">
        <f>VLOOKUP(C19,WBS!$B:$C,2,0)</f>
        <v>#N/A</v>
      </c>
      <c r="E19" s="11" t="s">
        <v>14</v>
      </c>
      <c r="F19" s="92">
        <f>ATK!H20</f>
        <v>0</v>
      </c>
      <c r="G19" s="92">
        <f>ATK!H35</f>
        <v>0</v>
      </c>
      <c r="H19" s="92">
        <f>ATK!H50</f>
        <v>0</v>
      </c>
      <c r="I19" s="92">
        <f>ATK!H65</f>
        <v>0</v>
      </c>
      <c r="J19" s="117">
        <f>SUM(F19:I19)</f>
        <v>0</v>
      </c>
      <c r="K19" s="12"/>
    </row>
    <row r="20" spans="2:15" ht="17.649999999999999" customHeight="1">
      <c r="B20" s="13">
        <f>1+B19</f>
        <v>2</v>
      </c>
      <c r="C20" s="14"/>
      <c r="D20" s="14"/>
      <c r="E20" s="14" t="s">
        <v>15</v>
      </c>
      <c r="F20" s="93">
        <f>BBM!H20</f>
        <v>0</v>
      </c>
      <c r="G20" s="93">
        <f>BBM!H35</f>
        <v>0</v>
      </c>
      <c r="H20" s="93">
        <f>BBM!H50</f>
        <v>0</v>
      </c>
      <c r="I20" s="93">
        <f>BBM!H65</f>
        <v>0</v>
      </c>
      <c r="J20" s="118">
        <f>SUM(F20:I20)</f>
        <v>0</v>
      </c>
      <c r="K20" s="12"/>
    </row>
    <row r="21" spans="2:15" ht="17.649999999999999" customHeight="1">
      <c r="B21" s="13">
        <f>1+B20</f>
        <v>3</v>
      </c>
      <c r="C21" s="14"/>
      <c r="D21" s="14"/>
      <c r="E21" s="14" t="s">
        <v>16</v>
      </c>
      <c r="F21" s="93">
        <f>Catering!H20</f>
        <v>0</v>
      </c>
      <c r="G21" s="93">
        <f>BBM!H36</f>
        <v>0</v>
      </c>
      <c r="H21" s="94">
        <f>Catering!H52</f>
        <v>0</v>
      </c>
      <c r="I21" s="94">
        <f>Catering!H67</f>
        <v>0</v>
      </c>
      <c r="J21" s="118">
        <f>SUM(F21:I21)</f>
        <v>0</v>
      </c>
      <c r="K21" s="12"/>
    </row>
    <row r="22" spans="2:15" ht="17.649999999999999" customHeight="1">
      <c r="B22" s="13">
        <f>1+B21</f>
        <v>4</v>
      </c>
      <c r="C22" s="14"/>
      <c r="D22" s="14"/>
      <c r="E22" s="14" t="s">
        <v>191</v>
      </c>
      <c r="F22" s="94">
        <f>'Perdin &amp; Cuti'!H20</f>
        <v>0</v>
      </c>
      <c r="G22" s="94">
        <f>'Perdin &amp; Cuti'!H35</f>
        <v>0</v>
      </c>
      <c r="H22" s="94">
        <f>'Perdin &amp; Cuti'!H50</f>
        <v>0</v>
      </c>
      <c r="I22" s="94">
        <f>'Perdin &amp; Cuti'!H65</f>
        <v>0</v>
      </c>
      <c r="J22" s="118">
        <f>SUM(F22:I22)</f>
        <v>0</v>
      </c>
      <c r="K22" s="12"/>
      <c r="O22" s="119"/>
    </row>
    <row r="23" spans="2:15" ht="17.649999999999999" customHeight="1">
      <c r="B23" s="13">
        <f>1+B22</f>
        <v>5</v>
      </c>
      <c r="C23" s="14"/>
      <c r="D23" s="14"/>
      <c r="E23" s="15" t="s">
        <v>17</v>
      </c>
      <c r="F23" s="94">
        <f>'Listrik PLN'!H15</f>
        <v>0</v>
      </c>
      <c r="G23" s="93">
        <f>'Listrik PLN'!H25</f>
        <v>0</v>
      </c>
      <c r="H23" s="93">
        <f>'Listrik PLN'!H35</f>
        <v>0</v>
      </c>
      <c r="I23" s="93">
        <f>'Listrik PLN'!H45</f>
        <v>0</v>
      </c>
      <c r="J23" s="118">
        <f>SUM(F23:I23)</f>
        <v>0</v>
      </c>
      <c r="K23" s="12"/>
    </row>
    <row r="24" spans="2:15" ht="17.649999999999999" customHeight="1">
      <c r="B24" s="13">
        <f>1+B23</f>
        <v>6</v>
      </c>
      <c r="C24" s="14"/>
      <c r="D24" s="14"/>
      <c r="E24" s="15" t="s">
        <v>79</v>
      </c>
      <c r="F24" s="94">
        <f>'Air PDAM'!H16</f>
        <v>0</v>
      </c>
      <c r="G24" s="93">
        <f>'Air PDAM'!H26</f>
        <v>0</v>
      </c>
      <c r="H24" s="93">
        <f>'Air PDAM'!H36</f>
        <v>0</v>
      </c>
      <c r="I24" s="93">
        <f>'Air PDAM'!H46</f>
        <v>0</v>
      </c>
      <c r="J24" s="118">
        <f>SUM(F24:I24)</f>
        <v>0</v>
      </c>
      <c r="K24" s="12"/>
    </row>
    <row r="25" spans="2:15" ht="17.649999999999999" customHeight="1">
      <c r="B25" s="13">
        <f>1+B24</f>
        <v>7</v>
      </c>
      <c r="C25" s="14"/>
      <c r="D25" s="14"/>
      <c r="E25" s="15" t="s">
        <v>80</v>
      </c>
      <c r="F25" s="94">
        <f>'Telp &amp; Internet'!H17</f>
        <v>0</v>
      </c>
      <c r="G25" s="93">
        <f>'Telp &amp; Internet'!H27</f>
        <v>0</v>
      </c>
      <c r="H25" s="93">
        <f>'Telp &amp; Internet'!H37</f>
        <v>0</v>
      </c>
      <c r="I25" s="93">
        <f>'Telp &amp; Internet'!H47</f>
        <v>0</v>
      </c>
      <c r="J25" s="118">
        <f>SUM(F25:I25)</f>
        <v>0</v>
      </c>
      <c r="K25" s="12"/>
    </row>
    <row r="26" spans="2:15" ht="17.649999999999999" customHeight="1">
      <c r="B26" s="13">
        <f>1+B25</f>
        <v>8</v>
      </c>
      <c r="C26" s="14"/>
      <c r="D26" s="14"/>
      <c r="E26" s="14" t="s">
        <v>18</v>
      </c>
      <c r="F26" s="94">
        <f>Pantry!H21</f>
        <v>0</v>
      </c>
      <c r="G26" s="93">
        <f>Pantry!H37</f>
        <v>0</v>
      </c>
      <c r="H26" s="93">
        <f>Pantry!H53</f>
        <v>0</v>
      </c>
      <c r="I26" s="93">
        <f>Pantry!H69</f>
        <v>0</v>
      </c>
      <c r="J26" s="118">
        <f>SUM(F26:I26)</f>
        <v>0</v>
      </c>
      <c r="K26" s="12"/>
    </row>
    <row r="27" spans="2:15" ht="17.649999999999999" customHeight="1">
      <c r="B27" s="13">
        <f>1+B26</f>
        <v>9</v>
      </c>
      <c r="C27" s="16"/>
      <c r="D27" s="16"/>
      <c r="E27" s="17" t="s">
        <v>19</v>
      </c>
      <c r="F27" s="94">
        <f>KHL!H20</f>
        <v>0</v>
      </c>
      <c r="G27" s="95">
        <f>KHL!H35</f>
        <v>0</v>
      </c>
      <c r="H27" s="95">
        <f>KHL!H50</f>
        <v>0</v>
      </c>
      <c r="I27" s="95">
        <f>KHL!H65</f>
        <v>0</v>
      </c>
      <c r="J27" s="118">
        <f>SUM(F27:I27)</f>
        <v>0</v>
      </c>
      <c r="K27" s="12"/>
    </row>
    <row r="28" spans="2:15" ht="17.649999999999999" customHeight="1">
      <c r="B28" s="13">
        <f>1+B27</f>
        <v>10</v>
      </c>
      <c r="C28" s="16"/>
      <c r="D28" s="16"/>
      <c r="E28" s="18" t="s">
        <v>81</v>
      </c>
      <c r="F28" s="94"/>
      <c r="G28" s="95"/>
      <c r="H28" s="95"/>
      <c r="I28" s="95"/>
      <c r="J28" s="118">
        <f>SUM(F28:I28)</f>
        <v>0</v>
      </c>
      <c r="K28" s="12"/>
    </row>
    <row r="29" spans="2:15" ht="17.649999999999999" customHeight="1">
      <c r="B29" s="13">
        <f>1+B28</f>
        <v>11</v>
      </c>
      <c r="C29" s="16"/>
      <c r="D29" s="16"/>
      <c r="E29" s="18"/>
      <c r="F29" s="94"/>
      <c r="G29" s="95"/>
      <c r="H29" s="95"/>
      <c r="I29" s="95"/>
      <c r="J29" s="118">
        <f>SUM(F29:I29)</f>
        <v>0</v>
      </c>
      <c r="K29" s="12"/>
    </row>
    <row r="30" spans="2:15" ht="17.649999999999999" customHeight="1">
      <c r="B30" s="13">
        <f>1+B29</f>
        <v>12</v>
      </c>
      <c r="C30" s="16"/>
      <c r="D30" s="16"/>
      <c r="E30" s="18" t="s">
        <v>82</v>
      </c>
      <c r="F30" s="94"/>
      <c r="G30" s="95"/>
      <c r="H30" s="95"/>
      <c r="I30" s="95"/>
      <c r="J30" s="118">
        <f>SUM(F30:I30)</f>
        <v>0</v>
      </c>
      <c r="K30" s="12"/>
    </row>
    <row r="31" spans="2:15" ht="17.649999999999999" customHeight="1">
      <c r="B31" s="13">
        <f>1+B30</f>
        <v>13</v>
      </c>
      <c r="C31" s="16"/>
      <c r="D31" s="16"/>
      <c r="E31" s="18" t="s">
        <v>82</v>
      </c>
      <c r="F31" s="94"/>
      <c r="G31" s="95"/>
      <c r="H31" s="95"/>
      <c r="I31" s="95"/>
      <c r="J31" s="118">
        <f>SUM(F31:I31)</f>
        <v>0</v>
      </c>
      <c r="K31" s="12"/>
    </row>
    <row r="32" spans="2:15" ht="17.649999999999999" customHeight="1" thickBot="1">
      <c r="B32" s="13">
        <f>1+B31</f>
        <v>14</v>
      </c>
      <c r="C32" s="16"/>
      <c r="D32" s="16"/>
      <c r="E32" s="18" t="s">
        <v>82</v>
      </c>
      <c r="F32" s="95"/>
      <c r="G32" s="95"/>
      <c r="H32" s="95"/>
      <c r="I32" s="95"/>
      <c r="J32" s="118">
        <f>SUM(F32:I32)</f>
        <v>0</v>
      </c>
      <c r="K32" s="12"/>
    </row>
    <row r="33" spans="2:11" ht="24" customHeight="1">
      <c r="B33" s="133" t="s">
        <v>13</v>
      </c>
      <c r="C33" s="134"/>
      <c r="D33" s="134"/>
      <c r="E33" s="134"/>
      <c r="F33" s="137">
        <f>SUM(F19:F28)</f>
        <v>0</v>
      </c>
      <c r="G33" s="137">
        <f>SUM(G19:G28)</f>
        <v>0</v>
      </c>
      <c r="H33" s="137">
        <f>SUM(H19:H28)</f>
        <v>0</v>
      </c>
      <c r="I33" s="137">
        <f>SUM(I19:I28)</f>
        <v>0</v>
      </c>
      <c r="J33" s="131">
        <f>SUM(J19:J28)</f>
        <v>0</v>
      </c>
      <c r="K33" s="19"/>
    </row>
    <row r="34" spans="2:11" ht="24" customHeight="1" thickBot="1">
      <c r="B34" s="135"/>
      <c r="C34" s="136"/>
      <c r="D34" s="136"/>
      <c r="E34" s="136"/>
      <c r="F34" s="138"/>
      <c r="G34" s="138"/>
      <c r="H34" s="138"/>
      <c r="I34" s="138"/>
      <c r="J34" s="132"/>
      <c r="K34" s="19"/>
    </row>
  </sheetData>
  <mergeCells count="34">
    <mergeCell ref="O10:O11"/>
    <mergeCell ref="B5:C5"/>
    <mergeCell ref="D2:I5"/>
    <mergeCell ref="B7:D8"/>
    <mergeCell ref="G7:I7"/>
    <mergeCell ref="J7:J8"/>
    <mergeCell ref="G8:I8"/>
    <mergeCell ref="E7:F8"/>
    <mergeCell ref="F10:G10"/>
    <mergeCell ref="H10:I10"/>
    <mergeCell ref="F11:G11"/>
    <mergeCell ref="H11:I11"/>
    <mergeCell ref="E12:E14"/>
    <mergeCell ref="D12:D13"/>
    <mergeCell ref="F12:G14"/>
    <mergeCell ref="H12:I14"/>
    <mergeCell ref="J12:J14"/>
    <mergeCell ref="F15:G15"/>
    <mergeCell ref="H15:I15"/>
    <mergeCell ref="B17:B18"/>
    <mergeCell ref="C17:C18"/>
    <mergeCell ref="E17:E18"/>
    <mergeCell ref="F17:F18"/>
    <mergeCell ref="G17:G18"/>
    <mergeCell ref="H17:H18"/>
    <mergeCell ref="I17:I18"/>
    <mergeCell ref="J17:J18"/>
    <mergeCell ref="D17:D18"/>
    <mergeCell ref="J33:J34"/>
    <mergeCell ref="B33:E34"/>
    <mergeCell ref="F33:F34"/>
    <mergeCell ref="G33:G34"/>
    <mergeCell ref="H33:H34"/>
    <mergeCell ref="I33:I34"/>
  </mergeCells>
  <printOptions horizontalCentered="1"/>
  <pageMargins left="0" right="0" top="0" bottom="0" header="0.3" footer="0.3"/>
  <pageSetup scale="74" orientation="landscape" horizont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3b19e0-a06d-4027-b1ef-a980ee54fc27">
      <Terms xmlns="http://schemas.microsoft.com/office/infopath/2007/PartnerControls"/>
    </lcf76f155ced4ddcb4097134ff3c332f>
    <TaxCatchAll xmlns="e43ec466-17dd-4e2e-9db3-691f307955d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28DBC71A144C42A5CE727BB9FD151C" ma:contentTypeVersion="16" ma:contentTypeDescription="Create a new document." ma:contentTypeScope="" ma:versionID="4a97f967e7e9b9dcc36c044bcacffb30">
  <xsd:schema xmlns:xsd="http://www.w3.org/2001/XMLSchema" xmlns:xs="http://www.w3.org/2001/XMLSchema" xmlns:p="http://schemas.microsoft.com/office/2006/metadata/properties" xmlns:ns2="e43ec466-17dd-4e2e-9db3-691f307955d0" xmlns:ns3="733b19e0-a06d-4027-b1ef-a980ee54fc27" targetNamespace="http://schemas.microsoft.com/office/2006/metadata/properties" ma:root="true" ma:fieldsID="ee62466a8e2f887663d0f970900cbc01" ns2:_="" ns3:_="">
    <xsd:import namespace="e43ec466-17dd-4e2e-9db3-691f307955d0"/>
    <xsd:import namespace="733b19e0-a06d-4027-b1ef-a980ee54fc2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3ec466-17dd-4e2e-9db3-691f307955d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3be2193-db06-4192-b888-0a16a5b453d5}" ma:internalName="TaxCatchAll" ma:showField="CatchAllData" ma:web="e43ec466-17dd-4e2e-9db3-691f307955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3b19e0-a06d-4027-b1ef-a980ee54fc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d74a29d-bbd6-4927-bbfc-9fa919d0c7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859761-AB52-4813-97F8-B115E184E4C4}">
  <ds:schemaRefs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733b19e0-a06d-4027-b1ef-a980ee54fc27"/>
    <ds:schemaRef ds:uri="e43ec466-17dd-4e2e-9db3-691f307955d0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E61A451-A43D-4D0B-9915-E5396B4E4D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3ec466-17dd-4e2e-9db3-691f307955d0"/>
    <ds:schemaRef ds:uri="733b19e0-a06d-4027-b1ef-a980ee54fc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37CC74-B5C2-4E69-A7ED-0634801FFA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RAB RNR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Nana Supriatna</dc:creator>
  <cp:keywords/>
  <dc:description/>
  <cp:lastModifiedBy>Nur Chanifah</cp:lastModifiedBy>
  <cp:revision/>
  <cp:lastPrinted>2026-09-18T07:54:15Z</cp:lastPrinted>
  <dcterms:created xsi:type="dcterms:W3CDTF">2025-10-24T02:28:29Z</dcterms:created>
  <dcterms:modified xsi:type="dcterms:W3CDTF">2026-09-23T09:05:02Z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0x0101009528DBC71A144C42A5CE727BB9FD151C</vt:lpwstr>
  </property>
  <property fmtid="{D5CDD505-2E9C-101B-9397-08002B2CF9AE}" pid="3" name="MediaServiceImageTags">
    <vt:lpwstr/>
  </property>
</Properties>
</file>